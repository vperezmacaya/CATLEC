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LTEC\Codigo CATLEC\"/>
    </mc:Choice>
  </mc:AlternateContent>
  <xr:revisionPtr revIDLastSave="0" documentId="13_ncr:1_{F4E84F50-EEF1-467D-964A-8859A2AB9247}" xr6:coauthVersionLast="47" xr6:coauthVersionMax="47" xr10:uidLastSave="{00000000-0000-0000-0000-000000000000}"/>
  <bookViews>
    <workbookView xWindow="-108" yWindow="-108" windowWidth="23256" windowHeight="13896" activeTab="1" xr2:uid="{AFBC47FB-AA6E-4273-9F80-1754DD486B9C}"/>
  </bookViews>
  <sheets>
    <sheet name="TD BD" sheetId="3" r:id="rId1"/>
    <sheet name="BD" sheetId="1" r:id="rId2"/>
    <sheet name="OF" sheetId="4" r:id="rId3"/>
    <sheet name="Hoja1" sheetId="7" r:id="rId4"/>
    <sheet name="Hoja4" sheetId="5" r:id="rId5"/>
    <sheet name="Consideraciones" sheetId="6" r:id="rId6"/>
  </sheets>
  <definedNames>
    <definedName name="_xlnm._FilterDatabase" localSheetId="1" hidden="1">BD!$AJ$1:$AJ$128</definedName>
  </definedNames>
  <calcPr calcId="191029"/>
  <pivotCaches>
    <pivotCache cacheId="0" r:id="rId7"/>
    <pivotCache cacheId="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 i="1" l="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s="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AJ55" i="1"/>
  <c r="AJ108" i="1"/>
  <c r="AJ107" i="1"/>
  <c r="AJ99" i="1"/>
  <c r="AJ93" i="1"/>
  <c r="AJ59" i="1"/>
  <c r="AJ124" i="1"/>
  <c r="AJ35" i="1"/>
  <c r="AJ95" i="1"/>
  <c r="AJ32" i="1"/>
  <c r="AJ29" i="1"/>
  <c r="AJ111" i="1"/>
  <c r="AJ89" i="1"/>
  <c r="AJ78" i="1"/>
  <c r="AJ65" i="1"/>
  <c r="AJ48" i="1"/>
  <c r="AJ68" i="1"/>
  <c r="AJ76" i="1"/>
  <c r="AJ22" i="1"/>
  <c r="AJ69" i="1"/>
  <c r="AJ39" i="1"/>
  <c r="AJ70" i="1"/>
  <c r="AJ113" i="1"/>
  <c r="AJ71" i="1"/>
  <c r="AJ66" i="1"/>
  <c r="AJ64" i="1"/>
  <c r="AJ67" i="1"/>
  <c r="AJ25" i="1"/>
  <c r="AJ119" i="1"/>
  <c r="AJ9" i="1"/>
  <c r="AJ16" i="1"/>
  <c r="AJ80" i="1"/>
  <c r="AJ92" i="1"/>
  <c r="AJ13" i="1"/>
  <c r="AJ7" i="1"/>
  <c r="AJ8" i="1"/>
  <c r="AJ58" i="1"/>
  <c r="AJ120" i="1"/>
  <c r="AJ105" i="1"/>
  <c r="AJ106" i="1"/>
  <c r="AJ2" i="1"/>
  <c r="AJ21" i="1"/>
  <c r="AJ30" i="1"/>
  <c r="AJ53" i="1"/>
  <c r="AJ122" i="1"/>
  <c r="AJ60" i="1"/>
  <c r="AJ11" i="1"/>
  <c r="AJ73" i="1"/>
  <c r="AJ75" i="1"/>
  <c r="AJ19" i="1"/>
  <c r="AJ90" i="1"/>
  <c r="AJ46" i="1"/>
  <c r="AJ88" i="1"/>
  <c r="AJ72" i="1"/>
  <c r="AJ33" i="1"/>
  <c r="AJ81" i="1"/>
  <c r="AJ104" i="1"/>
  <c r="AJ125" i="1"/>
  <c r="AJ3" i="1"/>
  <c r="AJ34" i="1"/>
  <c r="AJ49" i="1"/>
  <c r="AJ12" i="1"/>
  <c r="AJ26" i="1"/>
  <c r="AJ36" i="1"/>
  <c r="AJ103" i="1"/>
  <c r="AJ14" i="1"/>
  <c r="AJ20" i="1"/>
  <c r="AJ101" i="1"/>
  <c r="AJ6" i="1"/>
  <c r="AJ74" i="1"/>
  <c r="AJ38" i="1"/>
  <c r="AJ50" i="1"/>
  <c r="AJ127" i="1"/>
  <c r="AJ4" i="1"/>
  <c r="AJ23" i="1"/>
  <c r="AJ43" i="1"/>
  <c r="AJ63" i="1"/>
  <c r="AJ52" i="1"/>
  <c r="AJ62" i="1"/>
  <c r="AJ56" i="1"/>
  <c r="AJ128" i="1"/>
  <c r="AJ96" i="1"/>
  <c r="AJ82" i="1"/>
  <c r="AJ61" i="1"/>
  <c r="AJ87" i="1"/>
  <c r="AJ10" i="1"/>
  <c r="AJ84" i="1"/>
  <c r="AJ57" i="1"/>
  <c r="AJ94" i="1"/>
  <c r="AJ86" i="1"/>
  <c r="AJ15" i="1"/>
  <c r="AJ91" i="1"/>
  <c r="AJ17" i="1"/>
  <c r="AJ5" i="1"/>
  <c r="AJ100" i="1"/>
  <c r="AJ41" i="1"/>
  <c r="AJ102" i="1"/>
  <c r="AJ126" i="1"/>
  <c r="AJ40" i="1"/>
  <c r="AJ109" i="1"/>
  <c r="AJ116" i="1"/>
  <c r="AJ83" i="1"/>
  <c r="AJ42" i="1"/>
  <c r="AJ117" i="1"/>
  <c r="AJ44" i="1"/>
  <c r="AJ18" i="1"/>
  <c r="AJ114" i="1"/>
  <c r="AJ54" i="1"/>
  <c r="AJ97" i="1"/>
  <c r="AJ98" i="1"/>
  <c r="AJ24" i="1"/>
  <c r="AJ27" i="1"/>
  <c r="AJ79" i="1"/>
  <c r="AJ123" i="1"/>
  <c r="AJ47" i="1"/>
  <c r="AJ77" i="1"/>
  <c r="AJ110" i="1"/>
  <c r="AJ115" i="1"/>
  <c r="AJ118" i="1"/>
  <c r="AJ37" i="1"/>
  <c r="AJ51" i="1"/>
  <c r="AJ112" i="1"/>
  <c r="AJ28" i="1"/>
  <c r="AJ85" i="1"/>
  <c r="AJ31" i="1"/>
  <c r="AJ45" i="1"/>
  <c r="AJ121" i="1"/>
  <c r="C30" i="3"/>
  <c r="C22" i="3"/>
  <c r="C15" i="3"/>
  <c r="C11" i="3"/>
  <c r="C4" i="3"/>
  <c r="A8" i="1" l="1"/>
  <c r="A28" i="1"/>
  <c r="A48" i="1"/>
  <c r="A68" i="1"/>
  <c r="A88" i="1"/>
  <c r="A108" i="1"/>
  <c r="A128" i="1"/>
  <c r="A21" i="1"/>
  <c r="A22" i="1"/>
  <c r="A82" i="1"/>
  <c r="A63" i="1"/>
  <c r="A123" i="1"/>
  <c r="A4" i="1"/>
  <c r="A24" i="1"/>
  <c r="A64" i="1"/>
  <c r="A104" i="1"/>
  <c r="A124" i="1"/>
  <c r="A25" i="1"/>
  <c r="A26" i="1"/>
  <c r="A66" i="1"/>
  <c r="A106" i="1"/>
  <c r="A27" i="1"/>
  <c r="A87" i="1"/>
  <c r="A9" i="1"/>
  <c r="A29" i="1"/>
  <c r="A49" i="1"/>
  <c r="A69" i="1"/>
  <c r="A89" i="1"/>
  <c r="A109" i="1"/>
  <c r="A10" i="1"/>
  <c r="A30" i="1"/>
  <c r="A50" i="1"/>
  <c r="A70" i="1"/>
  <c r="A90" i="1"/>
  <c r="A110" i="1"/>
  <c r="A11" i="1"/>
  <c r="A31" i="1"/>
  <c r="A51" i="1"/>
  <c r="A71" i="1"/>
  <c r="A91" i="1"/>
  <c r="A111" i="1"/>
  <c r="A12" i="1"/>
  <c r="A32" i="1"/>
  <c r="A52" i="1"/>
  <c r="A72" i="1"/>
  <c r="A92" i="1"/>
  <c r="A112" i="1"/>
  <c r="A13" i="1"/>
  <c r="A33" i="1"/>
  <c r="A53" i="1"/>
  <c r="A73" i="1"/>
  <c r="A93" i="1"/>
  <c r="A113" i="1"/>
  <c r="A20" i="1"/>
  <c r="A40" i="1"/>
  <c r="A60" i="1"/>
  <c r="A100" i="1"/>
  <c r="A120" i="1"/>
  <c r="A41" i="1"/>
  <c r="A81" i="1"/>
  <c r="A121" i="1"/>
  <c r="A2" i="1"/>
  <c r="A42" i="1"/>
  <c r="A102" i="1"/>
  <c r="A3" i="1"/>
  <c r="A43" i="1"/>
  <c r="A103" i="1"/>
  <c r="A84" i="1"/>
  <c r="A5" i="1"/>
  <c r="A45" i="1"/>
  <c r="A85" i="1"/>
  <c r="A125" i="1"/>
  <c r="A86" i="1"/>
  <c r="A67" i="1"/>
  <c r="A107" i="1"/>
  <c r="A14" i="1"/>
  <c r="A34" i="1"/>
  <c r="A54" i="1"/>
  <c r="A74" i="1"/>
  <c r="A94" i="1"/>
  <c r="A114" i="1"/>
  <c r="A15" i="1"/>
  <c r="A35" i="1"/>
  <c r="A55" i="1"/>
  <c r="A75" i="1"/>
  <c r="A95" i="1"/>
  <c r="A115" i="1"/>
  <c r="A16" i="1"/>
  <c r="A36" i="1"/>
  <c r="A56" i="1"/>
  <c r="A76" i="1"/>
  <c r="A96" i="1"/>
  <c r="A116" i="1"/>
  <c r="A17" i="1"/>
  <c r="A37" i="1"/>
  <c r="A57" i="1"/>
  <c r="A77" i="1"/>
  <c r="A97" i="1"/>
  <c r="A117" i="1"/>
  <c r="A18" i="1"/>
  <c r="A38" i="1"/>
  <c r="A58" i="1"/>
  <c r="A78" i="1"/>
  <c r="A98" i="1"/>
  <c r="A118" i="1"/>
  <c r="A19" i="1"/>
  <c r="A39" i="1"/>
  <c r="A59" i="1"/>
  <c r="A79" i="1"/>
  <c r="A99" i="1"/>
  <c r="A119" i="1"/>
  <c r="A80" i="1"/>
  <c r="A61" i="1"/>
  <c r="A101" i="1"/>
  <c r="A62" i="1"/>
  <c r="A122" i="1"/>
  <c r="A23" i="1"/>
  <c r="A83" i="1"/>
  <c r="A44" i="1"/>
  <c r="A65" i="1"/>
  <c r="A105" i="1"/>
  <c r="A6" i="1"/>
  <c r="A126" i="1"/>
  <c r="A7" i="1"/>
  <c r="A47" i="1"/>
  <c r="A127" i="1"/>
  <c r="A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<sst xmlns="http://schemas.openxmlformats.org/spreadsheetml/2006/main" count="4894" uniqueCount="1890">
  <si>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</si>
  <si>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</si>
  <si>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</si>
  <si>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</si>
  <si>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</si>
  <si>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</si>
  <si>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</si>
  <si>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</si>
  <si>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</si>
  <si>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</si>
  <si>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</si>
  <si>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</si>
  <si>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</si>
  <si>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</si>
  <si>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</si>
  <si>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</si>
  <si>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</si>
  <si>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</si>
  <si>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</si>
  <si>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</si>
  <si>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</si>
  <si>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</si>
  <si>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</si>
  <si>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</si>
  <si>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</si>
  <si>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</si>
  <si>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</si>
  <si>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</si>
  <si>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</si>
  <si>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</si>
  <si>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</si>
  <si>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</si>
  <si>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</si>
  <si>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</si>
  <si>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</si>
  <si>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</si>
  <si>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</si>
  <si>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</si>
  <si>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</si>
  <si>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</si>
  <si>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</si>
  <si>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</si>
  <si>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</si>
  <si>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</si>
  <si>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</si>
  <si>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</si>
  <si>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</si>
  <si>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</si>
  <si>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</si>
  <si>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</si>
  <si>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</si>
  <si>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</si>
  <si>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</si>
  <si>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</si>
  <si>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</si>
  <si>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</si>
  <si>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</si>
  <si>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</si>
  <si>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</si>
  <si>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</si>
  <si>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</si>
  <si>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</si>
  <si>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</si>
  <si>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</si>
  <si>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</si>
  <si>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</si>
  <si>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</si>
  <si>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</si>
  <si>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</si>
  <si>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</si>
  <si>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</si>
  <si>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</si>
  <si>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</si>
  <si>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</si>
  <si>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</si>
  <si>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</si>
  <si>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</si>
  <si>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</si>
  <si>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</si>
  <si>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</si>
  <si>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</si>
  <si>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</si>
  <si>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</si>
  <si>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</si>
  <si>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</si>
  <si>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</si>
  <si>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</si>
  <si>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</si>
  <si>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</si>
  <si>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</si>
  <si>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</si>
  <si>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</si>
  <si>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</si>
  <si>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</si>
  <si>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</si>
  <si>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</si>
  <si>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</si>
  <si>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</si>
  <si>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</si>
  <si>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</si>
  <si>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</si>
  <si>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</si>
  <si>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</si>
  <si>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</si>
  <si>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</si>
  <si>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</si>
  <si>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</si>
  <si>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</si>
  <si>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</si>
  <si>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</si>
  <si>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</si>
  <si>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</si>
  <si>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</si>
  <si>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</si>
  <si>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</si>
  <si>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</si>
  <si>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</si>
  <si>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</si>
  <si>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</si>
  <si>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</si>
  <si>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</si>
  <si>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</si>
  <si>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</si>
  <si>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</si>
  <si>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</si>
  <si>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</si>
  <si>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</si>
  <si>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</si>
  <si>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</si>
  <si>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</si>
  <si>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</si>
  <si>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</si>
  <si>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</si>
  <si>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</si>
  <si>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</si>
  <si>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</si>
  <si>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</si>
  <si>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</si>
  <si>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</si>
  <si>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</si>
  <si>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</si>
  <si>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</si>
  <si>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</si>
  <si>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</si>
  <si>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</si>
  <si>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</si>
  <si>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</si>
  <si>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</si>
  <si>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</si>
  <si>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</si>
  <si>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</si>
  <si>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</si>
  <si>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</si>
  <si>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</si>
  <si>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</si>
  <si>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</si>
  <si>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</si>
  <si>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</si>
  <si>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</si>
  <si>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</si>
  <si>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</si>
  <si>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</si>
  <si>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</si>
  <si>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</si>
  <si>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</si>
  <si>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</si>
  <si>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</si>
  <si>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</si>
  <si>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</si>
  <si>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</si>
  <si>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</si>
  <si>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</si>
  <si>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</si>
  <si>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</si>
  <si>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</si>
  <si>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</si>
  <si>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</si>
  <si>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</si>
  <si>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</si>
  <si>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</si>
  <si>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</si>
  <si>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</si>
  <si>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</si>
  <si>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</si>
  <si>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</si>
  <si>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</si>
  <si>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</si>
  <si>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</si>
  <si>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</si>
  <si>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</si>
  <si>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</si>
  <si>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</si>
  <si>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</si>
  <si>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</si>
  <si>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</si>
  <si>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</si>
  <si>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</si>
  <si>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</si>
  <si>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</si>
  <si>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</si>
  <si>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</si>
  <si>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</si>
  <si>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</si>
  <si>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</si>
  <si>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</si>
  <si>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</si>
  <si>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</si>
  <si>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</si>
  <si>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</si>
  <si>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</si>
  <si>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</si>
  <si>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</si>
  <si>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</si>
  <si>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</si>
  <si>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</si>
  <si>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</si>
  <si>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</si>
  <si>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</si>
  <si>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</si>
  <si>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</si>
  <si>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</si>
  <si>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</si>
  <si>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</si>
  <si>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</si>
  <si>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</si>
  <si>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</si>
  <si>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</si>
  <si>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</si>
  <si>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</si>
  <si>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</si>
  <si>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</si>
  <si>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</si>
  <si>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</si>
  <si>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</si>
  <si>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</si>
  <si>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</si>
  <si>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</si>
  <si>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</si>
  <si>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</si>
  <si>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</si>
  <si>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</si>
  <si>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</si>
  <si>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</si>
  <si>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</si>
  <si>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</si>
  <si>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</si>
  <si>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</si>
  <si>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</si>
  <si>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</si>
  <si>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</si>
  <si>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</si>
  <si>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</si>
  <si>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</si>
  <si>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</si>
  <si>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</si>
  <si>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</si>
  <si>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</si>
  <si>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</si>
  <si>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</si>
  <si>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</si>
  <si>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</si>
  <si>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</si>
  <si>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</si>
  <si>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</si>
  <si>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</si>
  <si>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</si>
  <si>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</si>
  <si>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</si>
  <si>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</si>
  <si>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</si>
  <si>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</si>
  <si>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</si>
  <si>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</si>
  <si>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</si>
  <si>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</si>
  <si>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</si>
  <si>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</si>
  <si>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</si>
  <si>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</si>
  <si>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</si>
  <si>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</si>
  <si>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</si>
  <si>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</si>
  <si>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</si>
  <si>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</si>
  <si>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</si>
  <si>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</si>
  <si>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</si>
  <si>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</si>
  <si>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</si>
  <si>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</si>
  <si>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</si>
  <si>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</si>
  <si>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</si>
  <si>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</si>
  <si>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</si>
  <si>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</si>
  <si>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</si>
  <si>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</si>
  <si>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</si>
  <si>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</si>
  <si>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</si>
  <si>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</si>
  <si>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</si>
  <si>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</si>
  <si>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</si>
  <si>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</si>
  <si>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</si>
  <si>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</si>
  <si>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</si>
  <si>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</si>
  <si>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</si>
  <si>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</si>
  <si>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</si>
  <si>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</si>
  <si>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</si>
  <si>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</si>
  <si>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</si>
  <si>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</si>
  <si>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</si>
  <si>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</si>
  <si>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</si>
  <si>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</si>
  <si>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</si>
  <si>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</si>
  <si>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</si>
  <si>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</si>
  <si>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</si>
  <si>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</si>
  <si>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</si>
  <si>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</si>
  <si>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</si>
  <si>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</si>
  <si>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</si>
  <si>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</si>
  <si>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</si>
  <si>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</si>
  <si>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</si>
  <si>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</si>
  <si>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</si>
  <si>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</si>
  <si>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</si>
  <si>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</si>
  <si>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</si>
  <si>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</si>
  <si>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</si>
  <si>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</si>
  <si>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</si>
  <si>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</si>
  <si>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</si>
  <si>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</si>
  <si>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</si>
  <si>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</si>
  <si>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</si>
  <si>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</si>
  <si>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</si>
  <si>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</si>
  <si>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</si>
  <si>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</si>
  <si>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</si>
  <si>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</si>
  <si>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</si>
  <si>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</si>
  <si>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</si>
  <si>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</si>
  <si>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</si>
  <si>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</si>
  <si>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</si>
  <si>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</si>
  <si>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</si>
  <si>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</si>
  <si>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</si>
  <si>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</si>
  <si>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</si>
  <si>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</si>
  <si>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</si>
  <si>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</si>
  <si>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</si>
  <si>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</si>
  <si>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</si>
  <si>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</si>
  <si>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</si>
  <si>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</si>
  <si>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</si>
  <si>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</si>
  <si>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</si>
  <si>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</si>
  <si>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</si>
  <si>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</si>
  <si>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</si>
  <si>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</si>
  <si>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</si>
  <si>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</si>
  <si>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</si>
  <si>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</si>
  <si>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</si>
  <si>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</si>
  <si>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</si>
  <si>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</si>
  <si>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</si>
  <si>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</si>
  <si>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</si>
  <si>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</si>
  <si>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</si>
  <si>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</si>
  <si>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</si>
  <si>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</si>
  <si>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</si>
  <si>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</si>
  <si>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</si>
  <si>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</si>
  <si>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</si>
  <si>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</si>
  <si>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</si>
  <si>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</si>
  <si>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</si>
  <si>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</si>
  <si>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</si>
  <si>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</si>
  <si>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</si>
  <si>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</si>
  <si>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</si>
  <si>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</si>
  <si>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</si>
  <si>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</si>
  <si>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</si>
  <si>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</si>
  <si>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</si>
  <si>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</si>
  <si>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</si>
  <si>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</si>
  <si>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</si>
  <si>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</si>
  <si>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</si>
  <si>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</si>
  <si>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</si>
  <si>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</si>
  <si>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</si>
  <si>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</si>
  <si>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</si>
  <si>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</si>
  <si>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</si>
  <si>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</si>
  <si>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</si>
  <si>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</si>
  <si>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</si>
  <si>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</si>
  <si>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</si>
  <si>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</si>
  <si>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</si>
  <si>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</si>
  <si>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</si>
  <si>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</si>
  <si>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</si>
  <si>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</si>
  <si>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</si>
  <si>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</si>
  <si>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</si>
  <si>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</si>
  <si>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</si>
  <si>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</si>
  <si>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</si>
  <si>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</si>
  <si>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</si>
  <si>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</si>
  <si>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</si>
  <si>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</si>
  <si>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</si>
  <si>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</si>
  <si>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</si>
  <si>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</si>
  <si>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</si>
  <si>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</si>
  <si>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</si>
  <si>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</si>
  <si>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</si>
  <si>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</si>
  <si>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</si>
  <si>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</si>
  <si>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</si>
  <si>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</si>
  <si>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</si>
  <si>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</si>
  <si>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</si>
  <si>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</si>
  <si>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</si>
  <si>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</si>
  <si>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</si>
  <si>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</si>
  <si>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</si>
  <si>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</si>
  <si>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</si>
  <si>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</si>
  <si>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</si>
  <si>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</si>
  <si>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</si>
  <si>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</si>
  <si>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</si>
  <si>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</si>
  <si>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</si>
  <si>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</si>
  <si>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</si>
  <si>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</si>
  <si>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</si>
  <si>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</si>
  <si>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</si>
  <si>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</si>
  <si>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</si>
  <si>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</si>
  <si>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</si>
  <si>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</si>
  <si>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</si>
  <si>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</si>
  <si>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</si>
  <si>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</si>
  <si>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</si>
  <si>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</si>
  <si>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</si>
  <si>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</si>
  <si>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</si>
  <si>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</si>
  <si>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</si>
  <si>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</si>
  <si>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</si>
  <si>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</si>
  <si>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</si>
  <si>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</si>
  <si>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</si>
  <si>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</si>
  <si>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</si>
  <si>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</si>
  <si>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</si>
  <si>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</si>
  <si>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</si>
  <si>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</si>
  <si>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</si>
  <si>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</si>
  <si>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</si>
  <si>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</si>
  <si>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</si>
  <si>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</si>
  <si>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</si>
  <si>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</si>
  <si>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</si>
  <si>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</si>
  <si>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</si>
  <si>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</si>
  <si>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</si>
  <si>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</si>
  <si>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</si>
  <si>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</si>
  <si>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</si>
  <si>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</si>
  <si>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</si>
  <si>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</si>
  <si>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</si>
  <si>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</si>
  <si>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</si>
  <si>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</si>
  <si>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</si>
  <si>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</si>
  <si>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</si>
  <si>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</si>
  <si>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</si>
  <si>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</si>
  <si>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</si>
  <si>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</si>
  <si>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</si>
  <si>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</si>
  <si>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</si>
  <si>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</si>
  <si>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</si>
  <si>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</si>
  <si>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</si>
  <si>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</si>
  <si>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</si>
  <si>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</si>
  <si>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</si>
  <si>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</si>
  <si>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</si>
  <si>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</si>
  <si>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</si>
  <si>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</si>
  <si>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</si>
  <si>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</si>
  <si>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</si>
  <si>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</si>
  <si>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</si>
  <si>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</si>
  <si>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</si>
  <si>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</si>
  <si>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</si>
  <si>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</si>
  <si>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</si>
  <si>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</si>
  <si>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</si>
  <si>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</si>
  <si>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</si>
  <si>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</si>
  <si>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</si>
  <si>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</si>
  <si>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</si>
  <si>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</si>
  <si>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</si>
  <si>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</si>
  <si>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</si>
  <si>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</si>
  <si>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</si>
  <si>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</si>
  <si>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</si>
  <si>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</si>
  <si>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</si>
  <si>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</si>
  <si>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</si>
  <si>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</si>
  <si>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</si>
  <si>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</si>
  <si>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</si>
  <si>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</si>
  <si>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</si>
  <si>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</si>
  <si>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</si>
  <si>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</si>
  <si>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</si>
  <si>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</si>
  <si>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</si>
  <si>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</si>
  <si>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</si>
  <si>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</si>
  <si>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</si>
  <si>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</si>
  <si>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</si>
  <si>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</si>
  <si>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</si>
  <si>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</si>
  <si>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</si>
  <si>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</si>
  <si>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</si>
  <si>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</si>
  <si>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</si>
  <si>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</si>
  <si>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</si>
  <si>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</si>
  <si>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</si>
  <si>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</si>
  <si>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</si>
  <si>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</si>
  <si>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</si>
  <si>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</si>
  <si>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</si>
  <si>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</si>
  <si>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</si>
  <si>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</si>
  <si>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</si>
  <si>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</si>
  <si>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</si>
  <si>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</si>
  <si>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</si>
  <si>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</si>
  <si>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</si>
  <si>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</si>
  <si>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</si>
  <si>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</si>
  <si>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</si>
  <si>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</si>
  <si>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</si>
  <si>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</si>
  <si>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</si>
  <si>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</si>
  <si>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</si>
  <si>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</si>
  <si>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</si>
  <si>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</si>
  <si>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</si>
  <si>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</si>
  <si>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</si>
  <si>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</si>
  <si>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</si>
  <si>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</si>
  <si>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</si>
  <si>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</si>
  <si>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</si>
  <si>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</si>
  <si>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</si>
  <si>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</si>
  <si>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</si>
  <si>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</si>
  <si>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</si>
  <si>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</si>
  <si>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</si>
  <si>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</si>
  <si>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</si>
  <si>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</si>
  <si>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</si>
  <si>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</si>
  <si>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</si>
  <si>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</si>
  <si>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</si>
  <si>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</si>
  <si>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</si>
  <si>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</si>
  <si>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</si>
  <si>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</si>
  <si>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</si>
  <si>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</si>
  <si>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</si>
  <si>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</si>
  <si>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</si>
  <si>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</si>
  <si>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</si>
  <si>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</si>
  <si>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</si>
  <si>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</si>
  <si>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</si>
  <si>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</si>
  <si>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</si>
  <si>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</si>
  <si>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</si>
  <si>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</si>
  <si>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</si>
  <si>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</si>
  <si>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</si>
  <si>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</si>
  <si>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</si>
  <si>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</si>
  <si>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</si>
  <si>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</si>
  <si>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</si>
  <si>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</si>
  <si>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</si>
  <si>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</si>
  <si>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</si>
  <si>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</si>
  <si>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</si>
  <si>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</si>
  <si>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</si>
  <si>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</si>
  <si>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</si>
  <si>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</si>
  <si>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</si>
  <si>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</si>
  <si>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</si>
  <si>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</si>
  <si>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</si>
  <si>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</si>
  <si>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</si>
  <si>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</si>
  <si>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</si>
  <si>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</si>
  <si>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</si>
  <si>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</si>
  <si>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</si>
  <si>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</si>
  <si>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</si>
  <si>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</si>
  <si>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</si>
  <si>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</si>
  <si>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</si>
  <si>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</si>
  <si>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</si>
  <si>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</si>
  <si>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</si>
  <si>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</si>
  <si>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</si>
  <si>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</si>
  <si>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</si>
  <si>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</si>
  <si>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</si>
  <si>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</si>
  <si>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</si>
  <si>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</si>
  <si>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</si>
  <si>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</si>
  <si>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</si>
  <si>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</si>
  <si>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</si>
  <si>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</si>
  <si>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</si>
  <si>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</si>
  <si>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</si>
  <si>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</si>
  <si>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</si>
  <si>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</si>
  <si>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</si>
  <si>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</si>
  <si>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</si>
  <si>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</si>
  <si>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</si>
  <si>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</si>
  <si>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</si>
  <si>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</si>
  <si>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</si>
  <si>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</si>
  <si>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</si>
  <si>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</si>
  <si>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</si>
  <si>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</si>
  <si>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</si>
  <si>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</si>
  <si>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</si>
  <si>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</si>
  <si>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</si>
  <si>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</si>
  <si>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</si>
  <si>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</si>
  <si>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</si>
  <si>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</si>
  <si>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</si>
  <si>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</si>
  <si>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</si>
  <si>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</si>
  <si>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</si>
  <si>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</si>
  <si>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</si>
  <si>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</si>
  <si>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</si>
  <si>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</si>
  <si>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</si>
  <si>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</si>
  <si>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</si>
  <si>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</si>
  <si>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</si>
  <si>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</si>
  <si>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</si>
  <si>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</si>
  <si>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</si>
  <si>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</si>
  <si>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</si>
  <si>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</si>
  <si>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</si>
  <si>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</si>
  <si>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</si>
  <si>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</si>
  <si>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</si>
  <si>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</si>
  <si>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</si>
  <si>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</si>
  <si>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</si>
  <si>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</si>
  <si>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</si>
  <si>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</si>
  <si>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</si>
  <si>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</si>
  <si>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</si>
  <si>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</si>
  <si>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</si>
  <si>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</si>
  <si>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</si>
  <si>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</si>
  <si>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</si>
  <si>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</si>
  <si>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</si>
  <si>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</si>
  <si>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</si>
  <si>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</si>
  <si>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</si>
  <si>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</si>
  <si>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</si>
  <si>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</si>
  <si>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</si>
  <si>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</si>
  <si>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</si>
  <si>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</si>
  <si>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</si>
  <si>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</si>
  <si>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</si>
  <si>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</si>
  <si>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</si>
  <si>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</si>
  <si>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</si>
  <si>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</si>
  <si>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</si>
  <si>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</si>
  <si>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</si>
  <si>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</si>
  <si>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</si>
  <si>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</si>
  <si>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</si>
  <si>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</si>
  <si>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</si>
  <si>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</si>
  <si>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</si>
  <si>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</si>
  <si>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</si>
  <si>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</si>
  <si>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</si>
  <si>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</si>
  <si>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</si>
  <si>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</si>
  <si>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</si>
  <si>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</si>
  <si>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</si>
  <si>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</si>
  <si>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</si>
  <si>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</si>
  <si>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</si>
  <si>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</si>
  <si>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</si>
  <si>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</si>
  <si>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</si>
  <si>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</si>
  <si>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</si>
  <si>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</si>
  <si>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</si>
  <si>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</si>
  <si>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</si>
  <si>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</si>
  <si>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</si>
  <si>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</si>
  <si>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</si>
  <si>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</si>
  <si>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</si>
  <si>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</si>
  <si>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</si>
  <si>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</si>
  <si>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</si>
  <si>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</si>
  <si>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</si>
  <si>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</si>
  <si>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</si>
  <si>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</si>
  <si>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</si>
  <si>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</si>
  <si>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</si>
  <si>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</si>
  <si>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</si>
  <si>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</si>
  <si>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</si>
  <si>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</si>
  <si>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</si>
  <si>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</si>
  <si>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</si>
  <si>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</si>
  <si>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</si>
  <si>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</si>
  <si>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</si>
  <si>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</si>
  <si>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</si>
  <si>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</si>
  <si>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</si>
  <si>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</si>
  <si>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</si>
  <si>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</si>
  <si>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</si>
  <si>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</si>
  <si>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</si>
  <si>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</si>
  <si>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</si>
  <si>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</si>
  <si>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</si>
  <si>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</si>
  <si>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</si>
  <si>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</si>
  <si>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</si>
  <si>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</si>
  <si>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</si>
  <si>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</si>
  <si>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</si>
  <si>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</si>
  <si>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</si>
  <si>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</si>
  <si>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</si>
  <si>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</si>
  <si>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</si>
  <si>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</si>
  <si>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</si>
  <si>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</si>
  <si>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</si>
  <si>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</si>
  <si>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</si>
  <si>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</si>
  <si>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</si>
  <si>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</si>
  <si>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</si>
  <si>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</si>
  <si>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</si>
  <si>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</si>
  <si>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</si>
  <si>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</si>
  <si>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</si>
  <si>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</si>
  <si>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</si>
  <si>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</si>
  <si>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</si>
  <si>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</si>
  <si>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</si>
  <si>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</si>
  <si>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</si>
  <si>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</si>
  <si>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</si>
  <si>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</si>
  <si>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</si>
  <si>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</si>
  <si>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</si>
  <si>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</si>
  <si>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</si>
  <si>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</si>
  <si>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</si>
  <si>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</si>
  <si>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</si>
  <si>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</si>
  <si>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</si>
  <si>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</si>
  <si>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</si>
  <si>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</si>
  <si>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</si>
  <si>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</si>
  <si>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</si>
  <si>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</si>
  <si>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</si>
  <si>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</si>
  <si>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</si>
  <si>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</si>
  <si>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</si>
  <si>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</si>
  <si>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</si>
  <si>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</si>
  <si>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</si>
  <si>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</si>
  <si>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</si>
  <si>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</si>
  <si>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</si>
  <si>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</si>
  <si>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</si>
  <si>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</si>
  <si>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</si>
  <si>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</si>
  <si>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</si>
  <si>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</si>
  <si>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</si>
  <si>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</si>
  <si>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</si>
  <si>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</si>
  <si>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</si>
  <si>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</si>
  <si>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</si>
  <si>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</si>
  <si>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</si>
  <si>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</si>
  <si>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</si>
  <si>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</si>
  <si>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</si>
  <si>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</si>
  <si>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</si>
  <si>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</si>
  <si>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</si>
  <si>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</si>
  <si>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</si>
  <si>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</si>
  <si>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</si>
  <si>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</si>
  <si>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</si>
  <si>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</si>
  <si>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</si>
  <si>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</si>
  <si>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</si>
  <si>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</si>
  <si>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</si>
  <si>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</si>
  <si>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</si>
  <si>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</si>
  <si>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</si>
  <si>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</si>
  <si>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</si>
  <si>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</si>
  <si>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</si>
  <si>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</si>
  <si>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</si>
  <si>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</si>
  <si>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</si>
  <si>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</si>
  <si>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</si>
  <si>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</si>
  <si>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</si>
  <si>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</si>
  <si>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</si>
  <si>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</si>
  <si>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</si>
  <si>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</si>
  <si>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</si>
  <si>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</si>
  <si>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</si>
  <si>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</si>
  <si>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</si>
  <si>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</si>
  <si>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</si>
  <si>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</si>
  <si>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</si>
  <si>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</si>
  <si>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</si>
  <si>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</si>
  <si>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</si>
  <si>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</si>
  <si>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</si>
  <si>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</si>
  <si>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</si>
  <si>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</si>
  <si>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</si>
  <si>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</si>
  <si>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</si>
  <si>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</si>
  <si>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</si>
  <si>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</si>
  <si>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</si>
  <si>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</si>
  <si>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</si>
  <si>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</si>
  <si>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</si>
  <si>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</si>
  <si>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</si>
  <si>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</si>
  <si>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</si>
  <si>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</si>
  <si>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</si>
  <si>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</si>
  <si>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</si>
  <si>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</si>
  <si>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</si>
  <si>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</si>
  <si>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</si>
  <si>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</si>
  <si>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</si>
  <si>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</si>
  <si>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</si>
  <si>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</si>
  <si>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</si>
  <si>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</si>
  <si>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</si>
  <si>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</si>
  <si>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</si>
  <si>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</si>
  <si>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</si>
  <si>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</si>
  <si>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</si>
  <si>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</si>
  <si>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</si>
  <si>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</si>
  <si>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</si>
  <si>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</si>
  <si>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</si>
  <si>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</si>
  <si>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</si>
  <si>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</si>
  <si>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</si>
  <si>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</si>
  <si>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</si>
  <si>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</si>
  <si>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</si>
  <si>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</si>
  <si>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</si>
  <si>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</si>
  <si>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</si>
  <si>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</si>
  <si>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</si>
  <si>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</si>
  <si>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</si>
  <si>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</si>
  <si>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</si>
  <si>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</si>
  <si>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</si>
  <si>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</si>
  <si>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</si>
  <si>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</si>
  <si>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</si>
  <si>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</si>
  <si>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</si>
  <si>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</si>
  <si>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</si>
  <si>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</si>
  <si>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</si>
  <si>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</si>
  <si>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</si>
  <si>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</si>
  <si>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</si>
  <si>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</si>
  <si>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</si>
  <si>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</si>
  <si>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</si>
  <si>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</si>
  <si>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</si>
  <si>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</si>
  <si>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</si>
  <si>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</si>
  <si>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</si>
  <si>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</si>
  <si>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</si>
  <si>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</si>
  <si>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</si>
  <si>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</si>
  <si>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</si>
  <si>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</si>
  <si>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</si>
  <si>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</si>
  <si>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</si>
  <si>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</si>
  <si>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</si>
  <si>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</si>
  <si>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</si>
  <si>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</si>
  <si>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</si>
  <si>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</si>
  <si>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</si>
  <si>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</si>
  <si>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</si>
  <si>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</si>
  <si>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</si>
  <si>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</si>
  <si>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</si>
  <si>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</si>
  <si>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</si>
  <si>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</si>
  <si>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</si>
  <si>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</si>
  <si>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</si>
  <si>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</si>
  <si>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</si>
  <si>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</si>
  <si>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</si>
  <si>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</si>
  <si>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</si>
  <si>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</si>
  <si>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</si>
  <si>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</si>
  <si>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</si>
  <si>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</si>
  <si>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</si>
  <si>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</si>
  <si>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</si>
  <si>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</si>
  <si>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</si>
  <si>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</si>
  <si>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</si>
  <si>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</si>
  <si>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</si>
  <si>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</si>
  <si>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</si>
  <si>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</si>
  <si>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</si>
  <si>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</si>
  <si>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</si>
  <si>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</si>
  <si>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</si>
  <si>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</si>
  <si>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</si>
  <si>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</si>
  <si>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</si>
  <si>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</si>
  <si>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</si>
  <si>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</si>
  <si>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</si>
  <si>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</si>
  <si>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</si>
  <si>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</si>
  <si>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</si>
  <si>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</si>
  <si>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</si>
  <si>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</si>
  <si>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</si>
  <si>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</si>
  <si>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</si>
  <si>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</si>
  <si>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</si>
  <si>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</si>
  <si>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</si>
  <si>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</si>
  <si>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</si>
  <si>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</si>
  <si>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</si>
  <si>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</si>
  <si>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</si>
  <si>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</si>
  <si>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</si>
  <si>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</si>
  <si>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</si>
  <si>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</si>
  <si>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</si>
  <si>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</si>
  <si>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</si>
  <si>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</si>
  <si>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</si>
  <si>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</si>
  <si>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</si>
  <si>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</si>
  <si>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</si>
  <si>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</si>
  <si>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</si>
  <si>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</si>
  <si>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</si>
  <si>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</si>
  <si>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</si>
  <si>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</si>
  <si>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</si>
  <si>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</si>
  <si>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</si>
  <si>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</si>
  <si>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</si>
  <si>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</si>
  <si>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</si>
  <si>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</si>
  <si>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</si>
  <si>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</si>
  <si>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</si>
  <si>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</si>
  <si>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</si>
  <si>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</si>
  <si>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</si>
  <si>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</si>
  <si>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</si>
  <si>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</si>
  <si>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</si>
  <si>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</si>
  <si>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</si>
  <si>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</si>
  <si>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</si>
  <si>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</si>
  <si>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</si>
  <si>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</si>
  <si>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</si>
  <si>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</si>
  <si>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</si>
  <si>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</si>
  <si>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</si>
  <si>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</si>
  <si>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</si>
  <si>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</si>
  <si>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</si>
  <si>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</si>
  <si>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</si>
  <si>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</si>
  <si>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</si>
  <si>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</si>
  <si>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</si>
  <si>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</si>
  <si>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</si>
  <si>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</si>
  <si>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</si>
  <si>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</si>
  <si>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</si>
  <si>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</si>
  <si>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</si>
  <si>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</si>
  <si>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</si>
  <si>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</si>
  <si>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</si>
  <si>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</si>
  <si>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</si>
  <si>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</si>
  <si>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</si>
  <si>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</si>
  <si>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</si>
  <si>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</si>
  <si>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</si>
  <si>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</si>
  <si>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</si>
  <si>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</si>
  <si>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</si>
  <si>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</si>
  <si>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</si>
  <si>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</si>
  <si>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</si>
  <si>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</si>
  <si>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</si>
  <si>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</si>
  <si>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</si>
  <si>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</si>
  <si>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</si>
  <si>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</si>
  <si>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</si>
  <si>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</si>
  <si>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</si>
  <si>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</si>
  <si>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</si>
  <si>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</si>
  <si>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</si>
  <si>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</si>
  <si>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</si>
  <si>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</si>
  <si>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</si>
  <si>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</si>
  <si>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</si>
  <si>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</si>
  <si>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</si>
  <si>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</si>
  <si>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</si>
  <si>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</si>
  <si>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</si>
  <si>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</si>
  <si>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</si>
  <si>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</si>
  <si>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</si>
  <si>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</si>
  <si>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</si>
  <si>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</si>
  <si>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</si>
  <si>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</si>
  <si>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</si>
  <si>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</si>
  <si>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</si>
  <si>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</si>
  <si>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</si>
  <si>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</si>
  <si>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</si>
  <si>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</si>
  <si>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</si>
  <si>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</si>
  <si>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</si>
  <si>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</si>
  <si>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</si>
  <si>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</si>
  <si>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</si>
  <si>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</si>
  <si>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</si>
  <si>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</si>
  <si>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</si>
  <si>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</si>
  <si>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</si>
  <si>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</si>
  <si>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</si>
  <si>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</si>
  <si>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</si>
  <si>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</si>
  <si>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</si>
  <si>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</si>
  <si>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</si>
  <si>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</si>
  <si>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</si>
  <si>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</si>
  <si>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</si>
  <si>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</si>
  <si>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</si>
  <si>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</si>
  <si>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</si>
  <si>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</si>
  <si>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</si>
  <si>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</si>
  <si>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</si>
  <si>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</si>
  <si>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</si>
  <si>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</si>
  <si>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</si>
  <si>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</si>
  <si>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</si>
  <si>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</si>
  <si>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</si>
  <si>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</si>
  <si>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</si>
  <si>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</si>
  <si>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</si>
  <si>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</si>
  <si>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</si>
  <si>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</si>
  <si>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</si>
  <si>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</si>
  <si>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</si>
  <si>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</si>
  <si>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</si>
  <si>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</si>
  <si>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</si>
  <si>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</si>
  <si>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</si>
  <si>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</si>
  <si>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</si>
  <si>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</si>
  <si>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</si>
  <si>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</si>
  <si>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</si>
  <si>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</si>
  <si>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</si>
  <si>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</si>
  <si>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</si>
  <si>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</si>
  <si>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</si>
  <si>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</si>
  <si>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</si>
  <si>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</si>
  <si>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</si>
  <si>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</si>
  <si>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</si>
  <si>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</si>
  <si>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</si>
  <si>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</si>
  <si>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</si>
  <si>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</si>
  <si>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</si>
  <si>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</si>
  <si>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</si>
  <si>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</si>
  <si>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</si>
  <si>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</si>
  <si>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</si>
  <si>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</si>
  <si>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</si>
  <si>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</si>
  <si>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</si>
  <si>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</si>
  <si>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</si>
  <si>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</si>
  <si>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</si>
  <si>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</si>
  <si>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</si>
  <si>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</si>
  <si>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</si>
  <si>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</si>
  <si>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</si>
  <si>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</si>
  <si>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</si>
  <si>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</si>
  <si>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</si>
  <si>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</si>
  <si>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</si>
  <si>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</si>
  <si>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</si>
  <si>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</si>
  <si>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</si>
  <si>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</si>
  <si>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</si>
  <si>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</si>
  <si>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</si>
  <si>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</si>
  <si>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</si>
  <si>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</si>
  <si>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</si>
  <si>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</si>
  <si>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</si>
  <si>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</si>
  <si>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</si>
  <si>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</si>
  <si>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</si>
  <si>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</si>
  <si>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</si>
  <si>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</si>
  <si>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</si>
  <si>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</si>
  <si>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</si>
  <si>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</si>
  <si>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</si>
  <si>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</si>
  <si>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</si>
  <si>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</si>
  <si>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</si>
  <si>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</si>
  <si>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</si>
  <si>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</si>
  <si>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</si>
  <si>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</si>
  <si>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</si>
  <si>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</si>
  <si>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</si>
  <si>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</si>
  <si>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</si>
  <si>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</si>
  <si>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</si>
  <si>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</si>
  <si>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</si>
  <si>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</si>
  <si>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</si>
  <si>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</si>
  <si>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</si>
  <si>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</si>
  <si>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</si>
  <si>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</si>
  <si>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</si>
  <si>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</si>
  <si>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</si>
  <si>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</si>
  <si>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</si>
  <si>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</si>
  <si>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</si>
  <si>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</si>
  <si>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</si>
  <si>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</si>
  <si>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</si>
  <si>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</si>
  <si>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</si>
  <si>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</si>
  <si>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</si>
  <si>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</si>
  <si>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</si>
  <si>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</si>
  <si>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</si>
  <si>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</si>
  <si>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</si>
  <si>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</si>
  <si>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</si>
  <si>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</si>
  <si>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</si>
  <si>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</si>
  <si>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</si>
  <si>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</si>
  <si>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</si>
  <si>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</si>
  <si>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</si>
  <si>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</si>
  <si>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</si>
  <si>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</si>
  <si>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</si>
  <si>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</si>
  <si>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</si>
  <si>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</si>
  <si>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</si>
  <si>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</si>
  <si>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</si>
  <si>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</si>
  <si>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</si>
  <si>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</si>
  <si>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</si>
  <si>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</si>
  <si>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</si>
  <si>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</si>
  <si>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</si>
  <si>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</si>
  <si>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</si>
  <si>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</si>
  <si>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</si>
  <si>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</si>
  <si>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</si>
  <si>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</si>
  <si>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</si>
  <si>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</si>
  <si>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</si>
  <si>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</si>
  <si>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</si>
  <si>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</si>
  <si>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</si>
  <si>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</si>
  <si>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</si>
  <si>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</si>
  <si>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</si>
  <si>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</si>
  <si>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</si>
  <si>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</si>
  <si>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</si>
  <si>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</si>
  <si>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</si>
  <si>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</si>
  <si>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</si>
  <si>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</si>
  <si>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</si>
  <si>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</si>
  <si>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</si>
  <si>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</si>
  <si>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</si>
  <si>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</si>
  <si>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</si>
  <si>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</si>
  <si>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</si>
  <si>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</si>
  <si>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</si>
  <si>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</si>
  <si>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</si>
  <si>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</si>
  <si>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</si>
  <si>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</si>
  <si>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</si>
  <si>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</si>
  <si>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</si>
  <si>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</si>
  <si>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</si>
  <si>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</si>
  <si>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</si>
  <si>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</si>
  <si>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</si>
  <si>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</si>
  <si>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</si>
  <si>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</si>
  <si>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</si>
  <si>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</si>
  <si>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</si>
  <si>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</si>
  <si>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</si>
  <si>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</si>
  <si>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</si>
  <si>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</si>
  <si>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</si>
  <si>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</si>
  <si>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</si>
  <si>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</si>
  <si>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</si>
  <si>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</si>
  <si>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</si>
  <si>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</si>
  <si>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</si>
  <si>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</si>
  <si>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</si>
  <si>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</si>
  <si>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</si>
  <si>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</si>
  <si>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</si>
  <si>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</si>
  <si>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</si>
  <si>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</si>
  <si>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</si>
  <si>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</si>
  <si>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</si>
  <si>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</si>
  <si>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</si>
  <si>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</si>
  <si>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</si>
  <si>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</si>
  <si>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</si>
  <si>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</si>
  <si>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</si>
  <si>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</si>
  <si>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</si>
  <si>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</si>
  <si>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</si>
  <si>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</si>
  <si>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</si>
  <si>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</si>
  <si>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</si>
  <si>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</si>
  <si>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</si>
  <si>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</si>
  <si>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</si>
  <si>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</si>
  <si>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</si>
  <si>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</si>
  <si>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</si>
  <si>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</si>
  <si>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</si>
  <si>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</si>
  <si>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</si>
  <si>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</si>
  <si>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</si>
  <si>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</si>
  <si>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</si>
  <si>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</si>
  <si>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</si>
  <si>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</si>
  <si>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</si>
  <si>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</si>
  <si>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Cuenta de Nombre oferente</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</si>
  <si>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</si>
  <si>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</si>
  <si>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</si>
  <si>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</si>
  <si>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</si>
  <si>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</si>
  <si>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</si>
  <si>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</si>
  <si>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</si>
  <si>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</si>
  <si>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</si>
  <si>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</si>
  <si>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</si>
  <si>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</si>
  <si>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</si>
  <si>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</si>
  <si>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</si>
  <si>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</si>
  <si>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</si>
  <si>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</si>
  <si>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</si>
  <si>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</si>
  <si>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</si>
  <si>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</si>
  <si>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</si>
  <si>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</si>
  <si>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</si>
  <si>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</si>
  <si>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</si>
  <si>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</si>
  <si>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</si>
  <si>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</si>
  <si>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</si>
  <si>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</si>
  <si>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</si>
  <si>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</si>
  <si>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</si>
  <si>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</si>
  <si>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</si>
  <si>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</si>
  <si>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</si>
  <si>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</si>
  <si>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</si>
  <si>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</si>
  <si>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</si>
  <si>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</si>
  <si>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</si>
  <si>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</si>
  <si>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</si>
  <si>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</si>
  <si>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</si>
  <si>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</si>
  <si>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</si>
  <si>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</si>
  <si>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</si>
  <si>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</si>
  <si>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</si>
  <si>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</si>
  <si>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</si>
  <si>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</si>
  <si>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</si>
  <si>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</si>
  <si>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</si>
  <si>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</si>
  <si>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</si>
  <si>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</si>
  <si>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</si>
  <si>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</si>
  <si>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</si>
  <si>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</si>
  <si>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</si>
  <si>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</si>
  <si>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</si>
  <si>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</si>
  <si>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</si>
  <si>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</si>
  <si>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</si>
  <si>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</si>
  <si>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</si>
  <si>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</si>
  <si>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</si>
  <si>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</si>
  <si>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</si>
  <si>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</si>
  <si>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</si>
  <si>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</si>
  <si>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</si>
  <si>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</si>
  <si>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</si>
  <si>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</si>
  <si>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</si>
  <si>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</si>
  <si>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</si>
  <si>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</si>
  <si>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</si>
  <si>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</si>
  <si>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</si>
  <si>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</si>
  <si>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</si>
  <si>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</si>
  <si>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</si>
  <si>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</si>
  <si>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</si>
  <si>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</si>
  <si>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</si>
  <si>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</si>
  <si>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</si>
  <si>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</si>
  <si>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</si>
  <si>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161</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</si>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</sst>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7">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cellStyleXfs>
  <cellXfs count="75">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cellXfs>
  <cellStyles count="9">
    <cellStyle name="Hipervínculo" xfId="2" builtinId="8"/>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41">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17.81465601852" createdVersion="8" refreshedVersion="8" minRefreshableVersion="3" recordCount="397" xr:uid="{7CE7693C-581D-4FE5-A3EB-56441B5A6214}">
  <cacheSource type="worksheet">
    <worksheetSource name="Tabla2"/>
  </cacheSource>
  <cacheFields count="5">
    <cacheField name="Código proyecto" numFmtId="0">
      <sharedItems count="123">
        <s v="001_TEME1"/>
        <s v="002_CDMA1"/>
        <s v="003_ADAI1"/>
        <s v="004_ATEP1"/>
        <s v="005_ANCO1"/>
        <s v="006_SASA1"/>
        <s v="007_CNPU1"/>
        <s v="008_AVAM1"/>
        <s v="009_TACH1"/>
        <s v="010_SCLA1"/>
        <s v="011_SALV1"/>
        <s v="012_ISVV1"/>
        <s v="013_CHCO1"/>
        <s v="014_TERB1"/>
        <s v="015_LVLS1"/>
        <s v="016_ALFS1"/>
        <s v="017_ALOA1"/>
        <s v="018_RBPM1"/>
        <s v="019_AAMB1"/>
        <s v="020_COTE1"/>
        <s v="021_SATA1"/>
        <s v="022_ACSU1"/>
        <s v="023_ACMA1"/>
        <s v="024_SOPN1"/>
        <s v="025_ACIP1"/>
        <s v="026_EEBA1"/>
        <s v="027_SNSS1"/>
        <s v="028_RVLC1"/>
        <s v="029_AVES1"/>
        <s v="030_VAME1"/>
        <s v="031_PP1G1"/>
        <s v="032_AVNP1"/>
        <s v="033_RITP1"/>
        <s v="034_60RU1"/>
        <s v="035_ARAT1"/>
        <s v="036_PP2G1"/>
        <s v="037_ACNO1"/>
        <s v="038_PBCH1"/>
        <s v="039_PP3G1"/>
        <s v="040_EIMQ1"/>
        <s v="041_EIMC1"/>
        <s v="042_ACHA1"/>
        <s v="043_CSJS1"/>
        <s v="044_PCIS1"/>
        <s v="045_ETPO1"/>
        <s v="046_ECVI1"/>
        <s v="047_PTLA1"/>
        <s v="048_VVSK1"/>
        <s v="049_CVSR1"/>
        <s v="050_ETTT1"/>
        <s v="051_CTSR1"/>
        <s v="052_160R1"/>
        <s v="053_ADAI2"/>
        <s v="054_ATEP2"/>
        <s v="055_60GR1"/>
        <s v="056_VCAL1"/>
        <s v="057_CMVR1"/>
        <s v="058_AVAM2"/>
        <s v="059_HSMF1"/>
        <s v="060_66RF1"/>
        <s v="061_PMPA1"/>
        <s v="062_NARA1"/>
        <s v="063_ACIP2"/>
        <s v="064_PP2G2"/>
        <s v="065_AURA1"/>
        <s v="066_ALOA2"/>
        <s v="067_ACIQ1"/>
        <s v="068_COCA1"/>
        <s v="069_ACMA2"/>
        <s v="070_43RU1"/>
        <s v="071_VALS1"/>
        <s v="072_RLOA1"/>
        <s v="073_ADAI3"/>
        <s v="074_ALFS2"/>
        <s v="075_HSAN1"/>
        <s v="076_NPIB1"/>
        <s v="077_CFLL1"/>
        <s v="078_1AVO1"/>
        <s v="079_ATEP3"/>
        <s v="080_HSSG1"/>
        <s v="081_HSFB1"/>
        <s v="082_AAMB2"/>
        <s v="083_EPUN1"/>
        <s v="084_TEME2"/>
        <s v="085_CNPU2"/>
        <s v="086_ACSU2"/>
        <s v="087_ADAI4"/>
        <s v="088_2AVO1"/>
        <s v="089_RNAH1"/>
        <s v="090_RLOA2"/>
        <s v="091_TELB1"/>
        <s v="092_ELPA1"/>
        <s v="093_67CV1"/>
        <s v="094_66RF2"/>
        <s v="095_ATEP4"/>
        <s v="097_21RG1"/>
        <s v="098_LVLS2"/>
        <s v="099_ACHA2"/>
        <s v="100_RAUS1"/>
        <s v="101_TACH2"/>
        <s v="102_ALFS3"/>
        <s v="103_HRMA1"/>
        <s v="104_HBUP1"/>
        <s v="105_HRBB1"/>
        <s v="106_HRRL1"/>
        <s v="107_SASA2"/>
        <s v="108_HRQS1"/>
        <s v="113_INAC1"/>
        <s v="115_CHCO2"/>
        <s v="117_HINN1"/>
        <s v="112_ALOA3"/>
        <s v="109_AVAM3"/>
        <s v="110_HRQQ1"/>
        <s v="114_HROG1"/>
        <s v="119_ORSS1"/>
        <s v="125_ARNO1"/>
        <s v="126_PP4T1"/>
        <s v="120_SALV2"/>
        <s v="121_ANCO2"/>
        <s v="118_ISVV2"/>
        <s v="122_NARA2"/>
        <s v="124_TERB2"/>
        <s v="130_EPCO1"/>
      </sharedItems>
    </cacheField>
    <cacheField name="Nombre de uso común" numFmtId="0">
      <sharedItems count="123">
        <s v="Primera concesión Túnel El Melón"/>
        <s v="Primera concesión Camino de la Madera"/>
        <s v="Primera concesión Terminales de Pasajeros y de Carga Aeropuerto Diego Aracena de Iquique"/>
        <s v="Primera concesión Terminal de Pasajeros Aeropuerto El Tepual de Puerto Montt"/>
        <s v="Primera concesión Ruta del Itata"/>
        <s v="Primera concesión Autopista Santiago - San Antonio"/>
        <s v="Primera concesión Camino Nogales - Puchuncaví"/>
        <s v="Primera concesión Acceso Vial Aeropuerto Arturo Merino Benítez"/>
        <s v="Primera concesión Concesión Ruta 5 Tramo Talca - Chillán"/>
        <s v="Primera concesión Camino Santiago - Colina - Los Andes"/>
        <s v="Primera concesión Concesión Ruta 5 Tramo Santiago - Los Vilos"/>
        <s v="Primera concesión Interconexión Vial Santiago - Valparaíso - Viña del Mar"/>
        <s v="Primera concesión Internacional Ruta 5 Tramo Chillán - Collipulli"/>
        <s v="Primera concesión Internacional Ruta 5 Tramo Temuco - Río Bueno"/>
        <s v="Primera concesión Internacional Ruta 5 Tramo Los Vilos - La Serena"/>
        <s v="Primera concesión Terminal de Pasajeros Aeropuerto La Florida de La Serena"/>
        <s v="Primera concesión Terminal de Pasajeros Aeropuerto El Loa de Calama"/>
        <s v="Primera concesión Internacional Ruta 5 Tramo Río Bueno - Puerto Montt"/>
        <s v="Primera concesión Aeropuerto Internacional Arturo Merino Benítez de Santiago"/>
        <s v="Primera concesión Internacional Ruta 5 Tramo Collipulli - Temuco"/>
        <s v="Primera concesión Internacional Ruta 5 Tramo Santiago - Talca y Acceso Sur a Santiago"/>
        <s v="Primera concesión Terminal de Pasajeros Aeropuerto Carriel Sur de Concepción"/>
        <s v="Primera concesión Terminal de Pasajeros Aeropuerto Cerro Moreno de Antofagasta"/>
        <s v="Primera concesión Internacional Sistema Oriente - Poniente"/>
        <s v="Primera concesión Terminal de Pasajeros Aeropuerto Presidente Carlos Ibáñez del Campo de Punta Arenas"/>
        <s v="Primera concesión Internacional Embalse Illapel"/>
        <s v="Primera concesión Sistema Norte - Sur"/>
        <s v="Primera concesión Red Vial Litoral Central"/>
        <s v="Primera concesión Sistema Américo Vespucio Sur, Ruta 78 - Av. Grecia"/>
        <s v="Primera concesión Variante Melipilla"/>
        <s v="Primera concesión Programa de Concesiones de Infraestructura Penitenciaria, Grupo 1"/>
        <s v="Primera concesión Sistema Américo Vespucio Nor-Poniente, Av. El Salto-Ruta 78"/>
        <s v="Primera concesión Ruta Interportuaria Talcahuano - Penco por Isla Rocuant"/>
        <s v="Primera concesión Camino Internacional Ruta 60 Ch"/>
        <s v="Primera concesión Nuevo Aeropuerto Regional de Atacama, III Región"/>
        <s v="Primera concesión Programa de Concesiones de Infraestructura Penitenciaria, Grupo 2"/>
        <s v="Primera concesión Acceso Nor - Oriente a Santiago"/>
        <s v="Primera concesión Puente Bicentenario de Chiloé"/>
        <s v="Primera concesión Programa de Concesiones de Infraestructura Penitenciaria, Grupo N° 3"/>
        <s v="Primera concesión Estación de Intercambio Modal Quinta Normal"/>
        <s v="Primera concesión Estación de Intercambio Modal La Cisterna"/>
        <s v="Primera concesión Aeropuerto Chacalluta de Arica, I Región"/>
        <s v="Primera concesión Centro de Justicia de Santiago"/>
        <s v="Primera concesión Plaza de la Ciudadanía, Etapa I"/>
        <s v="Primera concesión Estadio Techado Parque O’Higgins"/>
        <s v="Primera concesión Embalse Convento Viejo II Etapa, VI Región"/>
        <s v="Primera concesión Puerto Terrestre Los Andes"/>
        <s v="Primera concesión Variante Vespucio El Salto - Kennedy"/>
        <s v="Primera concesión Conexión Vial Av. Suiza - Las Rejas"/>
        <s v="Primera concesión Estaciones de Transbordo para Transantiago"/>
        <s v="Primera concesión Habilitación Corredor de Transporte Público Av. Santa Rosa, Sector Alameda - A. Vespucio"/>
        <s v="Primera concesión Ruta 160, Tramo Tres Pinos - Acceso Norte a Coronel"/>
        <s v="Segunda concesión Aeropuerto Diego Aracena de Iquique, I Región"/>
        <s v="Segunda concesión Aeropuerto El Tepual de Puerto Montt, X Región"/>
        <s v="Primera concesión Conexión Vial Melipilla - Camino de la Fruta"/>
        <s v="Primera concesión Ruta 5 Norte. Tramo: Vallenar - Caldera"/>
        <s v="Primera concesión Centro Metropolitano de Vehículos Retirados de Circulación"/>
        <s v="Segunda concesión Acceso Vial Aeropuerto Arturo Merino Benítez"/>
        <s v="Conceisón de Hospital de Maipú y Hospital de La Florida"/>
        <s v="Primera concesión Ruta 66 - Camino de la Fruta"/>
        <s v="Primera concesión Ruta 5, Tramo Puerto Montt - Pargua"/>
        <s v="Primera concesión Nuevo Aeropuerto de la Región de La Araucanía"/>
        <s v="Segunda concesión Aeropuerto Presidente Carlos Ibáñez del Campo de Punta Arenas"/>
        <s v="Segunda concesión Programa de Concesiones de Infraestructura Penitenciaria Grupo 2"/>
        <s v="Primera concesión Vial Autopistas de la Región de Antofagasta"/>
        <s v="Segunda concesión Aeropuerto El Loa de Calama"/>
        <s v="Primera concesión Alternativas de Acceso a Iquique"/>
        <s v="Primera concesión Autopista Concepción - Cabrero "/>
        <s v="Segunda concesión Aeropuerto Cerro Moreno de Antofagasta"/>
        <s v="Primera concesión para el Mejoramiento y Conservación de la Ruta 43 de la Región de Coquimbo"/>
        <s v="Primera concesión Ruta 5 Norte. Tramo: La Serena - Vallenar"/>
        <s v="Primera concesión Vial Rutas del Loa"/>
        <s v="Tercera concesión Aeropuerto Diego Aracena de Iquique, I Región de Tarapacá"/>
        <s v="Segunda concesión Aeródromo La Florida de La Serena, IV Región de Coquimbo"/>
        <s v="Primera concesión Hospital de Antofagasta"/>
        <s v="Primera concesión Vial Puente Industrial"/>
        <s v="Primera concesión Nuevo Complejo Fronterizo Los Libertadores"/>
        <s v="Primera concesión Américo Vespucio Oriente, Tramo Av. El Salto - Príncipe de Gales"/>
        <s v="Tercera concesión Aeropuerto El Tepual de Puerto Montt, X Región de Los Lagos"/>
        <s v="Primera concesión Hospital del Salvador e Instituto Nacional de Geriatría"/>
        <s v="Primera concesión Hospital Félix Bulnes"/>
        <s v="Segunda concesión Aeropuerto Internacional Arturo Merino Benítez de Santiago"/>
        <s v="Primera concesión de la Obra Pública Embalse La Punilla"/>
        <s v="Segunda concesión Túnel El Melón"/>
        <s v="Segunda concesión Camino Nogales - Puchuncaví "/>
        <s v="Segunda concesión Aeropuerto Carriel Sur de Concepción"/>
        <s v="Cuarta concesión Aeropuerto Diego Aracena de Iquique"/>
        <s v="Primera concesión Américo Vespucio Oriente, Tramo Av. Príncipe de Gales - Los Presidentes"/>
        <s v="Primera concesión Mejoramiento Ruta Nahuelbuta"/>
        <s v="Segunda concesión Vial Rutas del Loa"/>
        <s v="Primera concesión Teleférico Bicentenario"/>
        <s v="Primera concesión Embalse Las Palmas"/>
        <s v="Primera concesión Conexión Vial Ruta 78 hasta Ruta 68"/>
        <s v="Segunda concesión Ruta 66, Camino de La Fruta"/>
        <s v="Cuarta concesión Aeropuerto El Tepual de Puerto Montt"/>
        <s v="Primera concesión Vial Mejoramiento Ruta G-21"/>
        <s v="Segunda concesión Ruta 5 Tramo Los Vilos – La Serena"/>
        <s v="Segunda concesión Aeropuerto Chacalluta de Arica"/>
        <s v="Segunda concesión Red Aeroportuaria Austral"/>
        <s v="Segunda concesión Ruta 5 Tramo Talca Chillán"/>
        <s v="Tercera concesión Tercera Concesión Aeropuerto La Florida de la Serena"/>
        <s v="Primera concesión Red Maule:  Hospital Cauquenes, Hospital de Constitución y Hospital de Parral"/>
        <s v="Primera concesión Hospital de Buin Paine"/>
        <s v="Primera concesión Red Biobío: Hospital Santa Bárbara, Hospital de Nacimiento, Hospital de Coronel y Hospital de Lota"/>
        <s v="Primera concesión de hospitales Red Los Ríos-Los Lagos"/>
        <s v="Segunda concesión Autopista Santiago – San Antonio, Ruta 78"/>
        <s v="Primera concesión  de Hospital de La Serena"/>
        <s v="Primera concesión Instituto Nacional del Cáncer"/>
        <s v="Segunda concesión Ruta 5 tramo Chillán -Collipulli"/>
        <s v="Primera concesión Instituto Nacional de Neurocirugía"/>
        <s v="Tercera concesión aeropuerto El Loa de Calama"/>
        <s v="Tercera Concesión Acceso Vial Aeropuerto Arturo Merino Benítez"/>
        <s v="Primera concesión Hospital Coquimbo"/>
        <s v="Primera concesión de Red O´Higgins: Hospital de Rengo y Hospital de Pichilemu"/>
        <s v="Primera concesión de Orbital Sur"/>
        <s v="Primera concesión Red Aeroportuaria Norte (2° concesión A. Regional de Atacama y 3° concesión A. Andrés Sabella)"/>
        <s v="Nuevo establecimiento penitenciario de Talca"/>
        <s v="Segunda Concesión Ruta 5 Santiago-Los Vilos"/>
        <s v="Segunda Concesión Ruta del Itata (Ex Acceso Norte a Concepción)"/>
        <s v="Segunda Concesión Interconexión Vial Santiago-Valparaíso-Viña del Mar, Ruta 68"/>
        <s v="Segunda Concesión Aeropuerto Región de la Araucanía"/>
        <s v="Segunda Concesión Ruta 5, tramo Temuco -Río Bueno"/>
        <s v="Concesión nuevo establecimiento penitenciario de Copiapó"/>
      </sharedItems>
    </cacheField>
    <cacheField name="Codigo oferente" numFmtId="0">
      <sharedItems/>
    </cacheField>
    <cacheField name="Nombre oferente" numFmtId="0">
      <sharedItems count="280">
        <s v="Consorcio ATEC"/>
        <s v="Consorcio Belfi y Otros"/>
        <s v="Consorcio Chilectra V Región y Otros"/>
        <s v="Consorcio Dragados y Otros"/>
        <s v="Consorcio Endesa y otros"/>
        <s v="Consorcio Constructora Fe Grande y Otros"/>
        <s v="Consorcio Aeropuerto Diego Aracena SA"/>
        <s v="Consorcio Eliqsa-BDS SA"/>
        <s v="Concesionaria Chucumata SA"/>
        <s v="Gestión e Ingeniería IDC SA, Socimer Chile SA, Senexco Ltda., Cosalco Ltda. e Inversiones Inmobiliarias Viento Claro SA"/>
        <s v="Concesionaria Tepual SA"/>
        <s v="Consorcio Ecovías y otros"/>
        <s v="Consorcio Cominco y otros"/>
        <s v="Consorcio Concepción SA"/>
        <s v="Consorcio Tribasa - Inela"/>
        <s v="Consorcio Infraestructura 2000 SA y otros"/>
        <s v="Consorcio Cassa"/>
        <s v="Consorcio Concesionaria Autopista San Antonio SA"/>
        <s v="Consorcio Tribasa Chile SA y otros"/>
        <s v="Consorcio Masscorp y otros"/>
        <s v="Consorcio Cruz Blanca-Delta"/>
        <s v="Consorcio Gestión e Ingeniería IDC SA y otros"/>
        <s v="Concesionaria Ruta Ventanas SA"/>
        <s v="Aerovías S.A."/>
        <s v="Consorcio Trinela "/>
        <s v="Consorcio Ica-Tecsa"/>
        <s v="Consorcio Ecovías"/>
        <s v="Consorcio Inecsa 2000"/>
        <s v="Consorcio Trinela Ruta 5 SA"/>
        <s v="Infraestructura Dos Mil SA"/>
        <s v="Consorcio Obras Viales"/>
        <s v="Consorcio Cicasa Chile"/>
        <s v="Consorcio Ecorutas"/>
        <s v="Consorcio Rutas del Pacífico"/>
        <s v="Consorcio Autopistas de Peaje SA"/>
        <s v="Tribasa Cono Sur S.A."/>
        <s v="Cominco SA y Obras y Desarrollo SA"/>
        <s v="Sacyr Chile SA"/>
        <s v="Consorcio Ecovias 5"/>
        <s v="Tribasa Cono Sur SA"/>
        <s v="Gestión e Ingeniería IDC SA, Empresa Constructora Senexco Ltda., Constructora Cosalco Ltda., Inversiones e Inmobiliaria Viento Claro SA, Inversiones Palguin SA"/>
        <s v="Ingecol SA, Sociedad de Ingeniería y Construcción Austral Ltda."/>
        <s v="Empresa Constructora Belfi SA"/>
        <s v="Ingeniería y Construcción Icafal ltda"/>
        <s v="Ingecol SA, Sociedad de Ingeniería y Construcción Austral Ltda"/>
        <s v="Gestión e Ingeniería IDC SA, Empresa Constructora Senexco Ltda., Constructora Cosalco Ltda., Inversiones e Inmobiliaria Viento Claro SA, Inversiones Palguín SA, e Inversiones y Servicios Iñaki Ltda"/>
        <s v="Consorcio Concesiones Iberochilenas"/>
        <s v="Consorcio ADS"/>
        <s v="Consorcio Airground AG"/>
        <s v="Consorcio SCL Terminal Aereo Santiago"/>
        <s v="Consorcio Aeropuerto AMB"/>
        <s v="Consorcio ASSA"/>
        <s v="Consorcio Santiago 2.000"/>
        <s v="Consorcio Ferrovial-Agromán"/>
        <s v="Consorcio Ica Tecsa"/>
        <s v="Consorcio Favias"/>
        <s v="Consorcio Autopista del Maipo"/>
        <s v="Consorcio Necso Entrecanales y Cubiertas SA"/>
        <s v="Consorcio Rutas del Sur"/>
        <s v="Empresa Constructora Belfi SA, Empresa Constructora Brotec SA, Empresa Constructora Claro, Vicuña, Valenzuela S"/>
        <s v="Empresa Constructora Delta SA, Fondo de Inversión Inmobiliaria BHIF, BHIF Inmobiliaria, Gestión e Ingeniería IDC SA, Inversiones y Rentas del Nuevo Extremo SA, Empresa Constructora Cosalco SA, Arturo Mariano Valle Ponce "/>
        <s v="Cintra Concesiones de Infraestructura de transporte de Chie Ltda."/>
        <s v="Alfonso Bründl y Cia Ltda., Ingecol SA, Mendes Junior Chile SA y Sical"/>
        <s v="Agencias Universales SA, Dragados y Construcciones SA, Agencia en Chile"/>
        <s v="Consorcio Biobío SA"/>
        <s v="Sacyr Chile SA y Sacyr S"/>
        <s v="Empresa Constructora Belfi SA, Empresa Constructora Belfi SA, Lan Chile SA, Las Americas Administradora de Fondos de Inversión SA y CMB Prime Administradora de Fondos de Inversión S"/>
        <s v=" Gestión e Ingeniería IDC SA, Fondo de Inversión Inmobiliaria BHIF Inmobiliario, Constructora Cosal SA e Inversiones y Rentas del Nuevo Extremo SA "/>
        <s v="Besalco SA, Arauco SA y Geotecnica Consultores SA"/>
        <s v="Alfonso Bründl y Cia Ltda., Ingecol SA, Mendes Junior Chile SA, Sical SA y Cisa Ltda"/>
        <s v="Autopistas Urbanas SA"/>
        <s v="Bouygues - Egis - Besalco Consortium"/>
        <s v="Impregilo - Fe Grande - Tecsa"/>
        <s v="Concesiones Viales Acciona"/>
        <s v="Austral Sociedad Concesionaria SA"/>
        <s v="Gestión e Ingeniería IDC SA, Inversiones y Rentas del Nuevo Extremo SA y Fondo de Inversión Inmobiliaria BHIF Inmobiliario"/>
        <s v="Besalco SA, Arauco SA y Geotécnica Consultores SA"/>
        <s v="Alfonso Bründl y Cia Ltda., Ingecol SA, Mendes Junior Chile SA y Sical SA"/>
        <s v="Besalco SA"/>
        <s v="Mendes Junior, Sical, Brundl, e Ingecol S.A."/>
        <s v="Grupo TCV S.A."/>
        <s v="Autopistas Norte-Sur SA"/>
        <s v="Consorcio Autopista Santiago"/>
        <s v="Consorcio Acciona - Sacyr Chile"/>
        <s v="Consorcio Litoral"/>
        <s v="Rutas Litoral Pacífico Central"/>
        <s v="Consorcio Autopista Américo Vespucio"/>
        <s v="Autopistas Metropolitanas SA"/>
        <s v="Consorcio Autopistas Vespucio Sur"/>
        <s v="Icafal - Tecsa"/>
        <s v="OHL - Mendes Junior y Asociados"/>
        <s v="Torno-Mendes Junior &amp; Asociados"/>
        <s v="Obrascon Huarte Lain S.A., Agencia En Chile"/>
        <s v="Consorcio B.A.S."/>
        <s v="Impreglio-FCCCO-Tecsa-Fe Grande"/>
        <s v="Consorcio Autopistas Vespucio Norte"/>
        <s v="Consorcio ICAFAL-TECSA"/>
        <s v="Mendes Junior y Asociados"/>
        <s v="Consorcio Autopista Interportuaria"/>
        <s v="Autopista Los Andes SA"/>
        <s v="Concesiones Aeroportuarias"/>
        <s v="Consorcio A Port Chile - Icafal - Odinsa"/>
        <s v="Arauco - Claro Vicuña Valenzuela - Con Pax - Trebol - Agua Santa"/>
        <s v="Consorcio de la Araucanía"/>
        <s v="Vinci Construction Grands Projets"/>
        <s v="Itinere Chile SA"/>
        <s v="Consorcio Puente Bicentenario"/>
        <s v="Grupo Cabo de Hornos"/>
        <s v=" Andes Investments (Chile) Limitada"/>
        <s v="Empresa Constructora Tecsa S.A."/>
        <s v="Felipe Montt Fuenzalida"/>
        <s v="Estaciones Metropolitanas: Acsa Agbar Construcción SA y Alsa Chile SA"/>
        <s v="Azvi Chile SA"/>
        <s v="Consorcio Icafal - Tecsa - AAC - Senarco - Cosalco"/>
        <s v="Obrascon Huarte Lain S.A."/>
        <s v="Las Americas Asministradoa de Fondos de Invesión SA"/>
        <s v="Inmobiliaria Socovesa Santiago SA"/>
        <s v="Consorcio Brotec, Echeverría, Izquierdo y Otros SA"/>
        <s v="Consorcio Arena Bicentenario"/>
        <s v="Consorcio Belfi Besalco Brotec"/>
        <s v="Terminal Los Andes SA, SC"/>
        <s v="Gestión de Infraestructura Concesionada - GICSA"/>
        <s v="Autopista San Cristobal"/>
        <s v="San Cristobal Express"/>
        <s v="Consorcio Belfi - BCF"/>
        <s v="Concesiones Urbanas"/>
        <s v="Concesionaria Suiza - Icafal"/>
        <s v="Consorcio Infraestructura de Santiago SA"/>
        <s v="Conseciones Urbanas"/>
        <s v="Besalco Concesiones SA"/>
        <s v="Consorcio Santa Rosa"/>
        <s v="Acciona Concesiones Ruta 160"/>
        <s v="Azvi Chile SA Agencia en Chile"/>
        <s v="Consorcio BELFI-Besalco-SIEMEL"/>
        <s v="Concesiones Viarias Chile SA"/>
        <s v="OHL Concesiones Chile SA-OHL Concesiones SL"/>
        <s v="Consorcio Skanska - ICC"/>
        <s v="Arrigoni-Sifón-Tecsa"/>
        <s v="Consorcio ACC-Icafal-Vecta"/>
        <s v="OHL Concesiones SL"/>
        <s v="Consorcio Aeroportuario Agunsa-SAAM"/>
        <s v="Arauco - Claro Vicuña Valenzuela - Con Pax"/>
        <s v="Comsa de Chile SA"/>
        <s v="Icafal Ingeniería y Construcción SA"/>
        <s v="Consorcio Ruta del Desierto"/>
        <s v="Consorcio OHL"/>
        <s v="Consorcio Skanska"/>
        <s v="Consorcio Azvi Comsa"/>
        <s v="Consorcio Schiappacasse Custodia, Proponente"/>
        <s v="Grupo CONPAX Concesiones, Arauco y Claro Vicuña Valenzuela"/>
        <s v="IAB Inmobiliaria SA"/>
        <s v="SC Central Metropolitana de Vehículos SA"/>
        <s v="Inversiones y Servicios INSER SA"/>
        <s v="Besalco Concesiones SA e Inversiones El Tranque Ltda."/>
        <s v="Concesiones Viarias Chile SA y Hochtief PPP Solutions Chile Ltda."/>
        <s v="Autopistas do Pacífico"/>
        <s v="Consorcio San José-Tecnocontrol"/>
        <s v="Consorcio Abengoa Chile - Begar - Inabensa"/>
        <s v="Acciona Concesiones Hospitalarias Chile"/>
        <s v="Consorcio Franco Italiano Dalkia-Inso"/>
        <s v="Consorcio Vial Chile"/>
        <s v="Concesiones Viarias Chile Tres SA"/>
        <s v="Sacyr Concesiones Chile SA"/>
        <s v="Consorcio Viarias Chile SA"/>
        <s v="Consorcio A Port Chile - Icafal"/>
        <s v="Agencias Universales SA"/>
        <s v="Consorcio Arrigoni - Sifon - Tecsa"/>
        <s v="Consorcio Aires Australes"/>
        <s v="Sodexho Chile SA"/>
        <s v="Consorcio Azvi - Copasa"/>
        <s v="Skanska Inversora en Infraestructura SA"/>
        <s v="Echeverría Izquierda SA"/>
        <s v="Grupo Licitante Belfi - Brotec Acceso Iquique"/>
        <s v="Nuevos Accesos a Iquique"/>
        <s v="Grupo Licitante Concesiones Viarias Chile Tres SA - Besalco Concesiones SA"/>
        <s v="Rutas Iquique"/>
        <s v="OHL Concesiones"/>
        <s v="Consorcio CBB"/>
        <s v="Claro Vicuña Valenzuela - Con Pax"/>
        <s v="Consorcio A Port Chile - IDC"/>
        <s v="Echeverría Izquierdo SA"/>
        <s v="Icafal Inversiones SA"/>
        <s v="OHL Concesiones SA"/>
        <s v="Besalco Arrigoni"/>
        <s v="Consorcio Redes Viales BD Chile"/>
        <s v="Consorcio BIB Concesión Vial Coquimbo"/>
        <s v="Sacyr Concesiones"/>
        <s v="Ruta Elqui Huasco"/>
        <s v="Consorcio Vial Anto-Andino"/>
        <s v="ASTALDI CONCESSIONI S.R.L. AGENCIA CHILE"/>
        <s v="INFRAESTRUCTURAS DE SALUD ANTOFAGASTA"/>
        <s v="CONSORCIO HOSPITALARIO ANTO - ANDINO"/>
        <s v="ANTOFAGASTA SALUD"/>
        <s v="FESSA"/>
        <s v="CONSORCIO SALUD SIGLO XXI"/>
        <s v="Consorcio BCVC"/>
        <s v="OHL Concesiones Chile SA"/>
        <s v="Consorcio Complejo Fronterizo Los Libertadores"/>
        <s v="Los Libertadores"/>
        <s v="Cintra Infraestructura SA"/>
        <s v="Remavesa SA"/>
        <s v="CONSORCIO DE SALUD SANTIAGO ORIENTE"/>
        <s v="Sacyr CONCESIONES CHILE S.A."/>
        <s v="CONSORCIO ABENGOA CHILE INABENSA TEYMA"/>
        <s v="CONSORCIO HOSPITALES SALUD"/>
        <s v="Grupo Pudahuel"/>
        <s v="Grupo Aeropuerto de Stgo."/>
        <s v="Consorcio AMB"/>
        <s v="Nuevo Pudahuel"/>
        <s v="Consorcio Aeroportuario AMB"/>
        <s v="Astaldi Concessioni S.R.L."/>
        <s v="Licitante Sacyr-Concesiones Chile SpA"/>
        <s v="Licitante OHL Concesiones Chile S.A."/>
        <s v="Grupo Licitante FCC-OSSA"/>
        <s v="Belfi-Conpax-Aura"/>
        <s v="Consorcio Túneles al Norte"/>
        <s v="Arauco-Echeverría Izquierdo"/>
        <s v="Highways Investment Chile Spa"/>
        <s v="Consorcio BBI"/>
        <s v="Nueva Concesión Nogales-Puchuncaví"/>
        <s v="Sacyr Concesiones Chile SpA"/>
        <s v="OHL Concesiones Chile S.A."/>
        <s v="Icafal Inversiones S.A."/>
        <s v="Consorcio Aeropuertos Asociados"/>
        <s v="Grupo Costanera SpA"/>
        <s v="Consorcio Vespucio Oriente"/>
        <s v="China Harbour Engneering Company Ltda."/>
        <s v="Cintra Infraestructura SE"/>
        <s v="Vespucio Oriente Express"/>
        <s v="Consorcio BB"/>
        <s v="Intervial Chile SA"/>
        <s v="Consorcio Sacyr"/>
        <s v="Consorcio Teleférico Bicentenario"/>
        <s v="Conpax-Belfi-Icafal "/>
        <s v="Consorcio BME"/>
        <s v="Acciona Concesiones Chile Limitada"/>
        <s v="China Harbour Engneering Company LTD."/>
        <s v="Consorcio Sacyr - Agunsa"/>
        <s v="Consorcio Belfi -Icafal"/>
        <s v="Consorcio Conpax-Icafal"/>
        <s v="Aport S.A."/>
        <s v="Empresa Constructora Belfi S.A."/>
        <s v="Consorcio Austral de Aeropuertos"/>
        <s v="Consorcio CRCC"/>
        <s v="Consorcio Cintra Intervial"/>
        <s v="Consorcio Aeropuerto IV Región"/>
        <s v="ACCIONA CONCESIONES"/>
        <s v="CONSORCIO IBEROASIÁTICO"/>
        <s v="OBRASCÓN HUARTE LAIN S.A."/>
        <s v="INVERSIONES HOSPITALES MAULE"/>
        <s v="OBRASCÓN HUARTE LAIN, S.A."/>
        <s v="Constructora y Edificadora GIA+A, S.A."/>
        <s v="Empresa Constructora Moller y Pérez Cotapos S.A."/>
        <s v="Obrascón Huarte Lain, SA."/>
        <s v="Constructora y edificadora GIA+A SA"/>
        <s v="Acciona concesiones hospitalarias"/>
        <s v="Constructora San José S.A."/>
        <s v="Constructora y edificadora GIA+A SA de capital variable"/>
        <s v="Consorcio rutas del Sol "/>
        <s v="Aleática SA"/>
        <s v="Consorcio Cintra –Intervial"/>
        <s v="Acciona concesiones ruta 78"/>
        <s v="Obrascón Huarte Lain,S.A. Agencia en Chile"/>
        <s v="Obrascón Huarte SA Agencia en Chile"/>
        <s v="Grupo CRCC Chile"/>
        <s v="Intervial Chile S.A. "/>
        <s v="China Railway Construction Corporation (International) Limited"/>
        <s v="Consorcio Sacyr-Agunsa"/>
        <s v="Intervial Chile"/>
        <s v="Concesiones Chile Holdings III"/>
        <s v="Grupo Costanera"/>
        <s v="Consorcio Sacyr-Cointer"/>
        <s v="Constructora San José, Agencia en Chile"/>
        <s v="Vías Chile"/>
        <s v="Intervial Shile SA"/>
        <s v="Inversiones en infraestrutura Chile SpA"/>
        <s v="Vías Chile SA"/>
        <s v="Belfi- Icafal"/>
        <s v="Grupos Costanera SPA"/>
        <s v="Constructora San José S.A., Agencia en Chile "/>
      </sharedItems>
    </cacheField>
    <cacheField name="Adjudicado" numFmtId="0">
      <sharedItems count="3">
        <s v="No"/>
        <s v="SI"/>
        <s v="Si "/>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
  <r>
    <x v="0"/>
    <x v="0"/>
    <s v="001_TEME1+1_6_1"/>
    <x v="0"/>
    <x v="0"/>
  </r>
  <r>
    <x v="0"/>
    <x v="0"/>
    <s v="001_TEME1+1_6_2"/>
    <x v="1"/>
    <x v="0"/>
  </r>
  <r>
    <x v="0"/>
    <x v="0"/>
    <s v="001_TEME1+1_6_3"/>
    <x v="2"/>
    <x v="0"/>
  </r>
  <r>
    <x v="0"/>
    <x v="0"/>
    <s v="001_TEME1+1_6_4"/>
    <x v="3"/>
    <x v="0"/>
  </r>
  <r>
    <x v="0"/>
    <x v="0"/>
    <s v="001_TEME1+1_6_5"/>
    <x v="4"/>
    <x v="1"/>
  </r>
  <r>
    <x v="0"/>
    <x v="0"/>
    <s v="001_TEME1+1_6_6"/>
    <x v="5"/>
    <x v="0"/>
  </r>
  <r>
    <x v="1"/>
    <x v="1"/>
    <s v="002_CDMA1+2_1_1"/>
    <x v="1"/>
    <x v="1"/>
  </r>
  <r>
    <x v="2"/>
    <x v="2"/>
    <s v="003_ADAI1+3_3_1"/>
    <x v="6"/>
    <x v="0"/>
  </r>
  <r>
    <x v="2"/>
    <x v="2"/>
    <s v="003_ADAI1+3_3_2"/>
    <x v="7"/>
    <x v="0"/>
  </r>
  <r>
    <x v="2"/>
    <x v="2"/>
    <s v="003_ADAI1+3_3_3"/>
    <x v="8"/>
    <x v="1"/>
  </r>
  <r>
    <x v="3"/>
    <x v="3"/>
    <s v="004_ATEP1+4_2_1"/>
    <x v="9"/>
    <x v="1"/>
  </r>
  <r>
    <x v="3"/>
    <x v="3"/>
    <s v="004_ATEP1+4_2_2"/>
    <x v="10"/>
    <x v="0"/>
  </r>
  <r>
    <x v="4"/>
    <x v="4"/>
    <s v="005_ANCO1+5_4_1"/>
    <x v="11"/>
    <x v="0"/>
  </r>
  <r>
    <x v="4"/>
    <x v="4"/>
    <s v="005_ANCO1+5_4_2"/>
    <x v="12"/>
    <x v="0"/>
  </r>
  <r>
    <x v="4"/>
    <x v="4"/>
    <s v="005_ANCO1+5_4_3"/>
    <x v="13"/>
    <x v="0"/>
  </r>
  <r>
    <x v="4"/>
    <x v="4"/>
    <s v="005_ANCO1+5_4_4"/>
    <x v="14"/>
    <x v="1"/>
  </r>
  <r>
    <x v="5"/>
    <x v="5"/>
    <s v="006_SASA1+6_6_1"/>
    <x v="15"/>
    <x v="1"/>
  </r>
  <r>
    <x v="5"/>
    <x v="5"/>
    <s v="006_SASA1+6_6_2"/>
    <x v="12"/>
    <x v="0"/>
  </r>
  <r>
    <x v="5"/>
    <x v="5"/>
    <s v="006_SASA1+6_6_3"/>
    <x v="16"/>
    <x v="0"/>
  </r>
  <r>
    <x v="5"/>
    <x v="5"/>
    <s v="006_SASA1+6_6_4"/>
    <x v="17"/>
    <x v="0"/>
  </r>
  <r>
    <x v="5"/>
    <x v="5"/>
    <s v="006_SASA1+6_6_5"/>
    <x v="18"/>
    <x v="0"/>
  </r>
  <r>
    <x v="5"/>
    <x v="5"/>
    <s v="006_SASA1+6_6_6"/>
    <x v="11"/>
    <x v="0"/>
  </r>
  <r>
    <x v="6"/>
    <x v="6"/>
    <s v="007_CNPU1+7_4_1"/>
    <x v="19"/>
    <x v="0"/>
  </r>
  <r>
    <x v="6"/>
    <x v="6"/>
    <s v="007_CNPU1+7_4_2"/>
    <x v="20"/>
    <x v="1"/>
  </r>
  <r>
    <x v="6"/>
    <x v="6"/>
    <s v="007_CNPU1+7_4_3"/>
    <x v="21"/>
    <x v="0"/>
  </r>
  <r>
    <x v="6"/>
    <x v="6"/>
    <s v="007_CNPU1+7_4_4"/>
    <x v="22"/>
    <x v="0"/>
  </r>
  <r>
    <x v="7"/>
    <x v="7"/>
    <s v="008_AVAM1+8_1_1"/>
    <x v="23"/>
    <x v="1"/>
  </r>
  <r>
    <x v="8"/>
    <x v="8"/>
    <s v="009_TACH1+9_4_1"/>
    <x v="24"/>
    <x v="0"/>
  </r>
  <r>
    <x v="8"/>
    <x v="8"/>
    <s v="009_TACH1+9_4_2"/>
    <x v="25"/>
    <x v="0"/>
  </r>
  <r>
    <x v="8"/>
    <x v="8"/>
    <s v="009_TACH1+9_4_3"/>
    <x v="26"/>
    <x v="1"/>
  </r>
  <r>
    <x v="9"/>
    <x v="9"/>
    <s v="010_SCLA1+10_1_1"/>
    <x v="27"/>
    <x v="1"/>
  </r>
  <r>
    <x v="10"/>
    <x v="10"/>
    <s v="011_SALV1+11_4_1"/>
    <x v="28"/>
    <x v="1"/>
  </r>
  <r>
    <x v="10"/>
    <x v="10"/>
    <s v="011_SALV1+11_4_2"/>
    <x v="25"/>
    <x v="0"/>
  </r>
  <r>
    <x v="10"/>
    <x v="10"/>
    <s v="011_SALV1+11_4_3"/>
    <x v="29"/>
    <x v="0"/>
  </r>
  <r>
    <x v="10"/>
    <x v="10"/>
    <s v="011_SALV1+11_4_4"/>
    <x v="30"/>
    <x v="0"/>
  </r>
  <r>
    <x v="11"/>
    <x v="11"/>
    <s v="012_ISVV1+12_4_1"/>
    <x v="31"/>
    <x v="0"/>
  </r>
  <r>
    <x v="11"/>
    <x v="11"/>
    <s v="012_ISVV1+12_4_2"/>
    <x v="32"/>
    <x v="0"/>
  </r>
  <r>
    <x v="11"/>
    <x v="11"/>
    <s v="012_ISVV1+12_4_3"/>
    <x v="33"/>
    <x v="1"/>
  </r>
  <r>
    <x v="11"/>
    <x v="11"/>
    <s v="012_ISVV1+12_4_4"/>
    <x v="34"/>
    <x v="0"/>
  </r>
  <r>
    <x v="12"/>
    <x v="12"/>
    <s v="013_CHCO1+13_3_1"/>
    <x v="35"/>
    <x v="0"/>
  </r>
  <r>
    <x v="12"/>
    <x v="12"/>
    <s v="013_CHCO1+13_3_2"/>
    <x v="36"/>
    <x v="0"/>
  </r>
  <r>
    <x v="12"/>
    <x v="12"/>
    <s v="013_CHCO1+13_3_3"/>
    <x v="29"/>
    <x v="0"/>
  </r>
  <r>
    <x v="13"/>
    <x v="13"/>
    <s v="014_TERB1+14_3_1"/>
    <x v="37"/>
    <x v="0"/>
  </r>
  <r>
    <x v="13"/>
    <x v="13"/>
    <s v="014_TERB1+14_3_2"/>
    <x v="29"/>
    <x v="0"/>
  </r>
  <r>
    <x v="13"/>
    <x v="13"/>
    <s v="014_TERB1+14_3_3"/>
    <x v="38"/>
    <x v="1"/>
  </r>
  <r>
    <x v="14"/>
    <x v="14"/>
    <s v="015_LVLS1+15_2_1"/>
    <x v="39"/>
    <x v="0"/>
  </r>
  <r>
    <x v="14"/>
    <x v="14"/>
    <s v="015_LVLS1+15_2_2"/>
    <x v="37"/>
    <x v="1"/>
  </r>
  <r>
    <x v="15"/>
    <x v="15"/>
    <s v="016_ALFS1+16_4_1"/>
    <x v="40"/>
    <x v="1"/>
  </r>
  <r>
    <x v="15"/>
    <x v="15"/>
    <s v="016_ALFS1+16_4_2"/>
    <x v="41"/>
    <x v="0"/>
  </r>
  <r>
    <x v="15"/>
    <x v="15"/>
    <s v="016_ALFS1+16_4_3"/>
    <x v="42"/>
    <x v="0"/>
  </r>
  <r>
    <x v="15"/>
    <x v="15"/>
    <s v="016_ALFS1+16_4_4"/>
    <x v="43"/>
    <x v="0"/>
  </r>
  <r>
    <x v="16"/>
    <x v="16"/>
    <s v="017_ALOA1+17_4_1"/>
    <x v="43"/>
    <x v="0"/>
  </r>
  <r>
    <x v="16"/>
    <x v="16"/>
    <s v="017_ALOA1+17_4_2"/>
    <x v="44"/>
    <x v="0"/>
  </r>
  <r>
    <x v="16"/>
    <x v="16"/>
    <s v="017_ALOA1+17_4_3"/>
    <x v="42"/>
    <x v="0"/>
  </r>
  <r>
    <x v="16"/>
    <x v="16"/>
    <s v="017_ALOA1+17_4_4"/>
    <x v="45"/>
    <x v="1"/>
  </r>
  <r>
    <x v="17"/>
    <x v="17"/>
    <s v="018_RBPM1+18_5_1"/>
    <x v="37"/>
    <x v="1"/>
  </r>
  <r>
    <x v="17"/>
    <x v="17"/>
    <s v="018_RBPM1+18_5_2"/>
    <x v="38"/>
    <x v="0"/>
  </r>
  <r>
    <x v="17"/>
    <x v="17"/>
    <s v="018_RBPM1+18_5_3"/>
    <x v="29"/>
    <x v="0"/>
  </r>
  <r>
    <x v="17"/>
    <x v="17"/>
    <s v="018_RBPM1+18_5_4"/>
    <x v="25"/>
    <x v="0"/>
  </r>
  <r>
    <x v="17"/>
    <x v="17"/>
    <s v="018_RBPM1+18_5_5"/>
    <x v="46"/>
    <x v="0"/>
  </r>
  <r>
    <x v="18"/>
    <x v="18"/>
    <s v="019_AAMB1+19_7_1"/>
    <x v="47"/>
    <x v="0"/>
  </r>
  <r>
    <x v="18"/>
    <x v="18"/>
    <s v="019_AAMB1+19_7_2"/>
    <x v="48"/>
    <x v="0"/>
  </r>
  <r>
    <x v="18"/>
    <x v="18"/>
    <s v="019_AAMB1+19_7_3"/>
    <x v="49"/>
    <x v="1"/>
  </r>
  <r>
    <x v="18"/>
    <x v="18"/>
    <s v="019_AAMB1+19_7_4"/>
    <x v="50"/>
    <x v="0"/>
  </r>
  <r>
    <x v="18"/>
    <x v="18"/>
    <s v="019_AAMB1+19_7_5"/>
    <x v="51"/>
    <x v="0"/>
  </r>
  <r>
    <x v="18"/>
    <x v="18"/>
    <s v="019_AAMB1+19_7_6"/>
    <x v="52"/>
    <x v="0"/>
  </r>
  <r>
    <x v="18"/>
    <x v="18"/>
    <s v="019_AAMB1+19_7_7"/>
    <x v="53"/>
    <x v="0"/>
  </r>
  <r>
    <x v="19"/>
    <x v="19"/>
    <s v="020_COTE1+20_4_1"/>
    <x v="54"/>
    <x v="0"/>
  </r>
  <r>
    <x v="19"/>
    <x v="19"/>
    <s v="020_COTE1+20_4_2"/>
    <x v="55"/>
    <x v="1"/>
  </r>
  <r>
    <x v="19"/>
    <x v="19"/>
    <s v="020_COTE1+20_4_3"/>
    <x v="29"/>
    <x v="0"/>
  </r>
  <r>
    <x v="19"/>
    <x v="19"/>
    <s v="020_COTE1+20_4_4"/>
    <x v="37"/>
    <x v="0"/>
  </r>
  <r>
    <x v="20"/>
    <x v="20"/>
    <s v="021_SATA1+21_4_1"/>
    <x v="56"/>
    <x v="1"/>
  </r>
  <r>
    <x v="20"/>
    <x v="20"/>
    <s v="021_SATA1+21_4_2"/>
    <x v="31"/>
    <x v="0"/>
  </r>
  <r>
    <x v="20"/>
    <x v="20"/>
    <s v="021_SATA1+21_4_3"/>
    <x v="57"/>
    <x v="0"/>
  </r>
  <r>
    <x v="20"/>
    <x v="20"/>
    <s v="021_SATA1+21_4_4"/>
    <x v="58"/>
    <x v="0"/>
  </r>
  <r>
    <x v="21"/>
    <x v="21"/>
    <s v="022_ACSU1+22_7_1"/>
    <x v="59"/>
    <x v="0"/>
  </r>
  <r>
    <x v="21"/>
    <x v="21"/>
    <s v="022_ACSU1+22_7_2"/>
    <x v="60"/>
    <x v="0"/>
  </r>
  <r>
    <x v="21"/>
    <x v="21"/>
    <s v="022_ACSU1+22_7_3"/>
    <x v="61"/>
    <x v="0"/>
  </r>
  <r>
    <x v="21"/>
    <x v="21"/>
    <s v="022_ACSU1+22_7_4"/>
    <x v="62"/>
    <x v="1"/>
  </r>
  <r>
    <x v="21"/>
    <x v="21"/>
    <s v="022_ACSU1+22_7_5"/>
    <x v="63"/>
    <x v="0"/>
  </r>
  <r>
    <x v="21"/>
    <x v="21"/>
    <s v="022_ACSU1+22_7_6"/>
    <x v="64"/>
    <x v="0"/>
  </r>
  <r>
    <x v="21"/>
    <x v="21"/>
    <s v="022_ACSU1+22_7_7"/>
    <x v="65"/>
    <x v="0"/>
  </r>
  <r>
    <x v="22"/>
    <x v="22"/>
    <s v="023_ACMA1+23_5_1"/>
    <x v="66"/>
    <x v="0"/>
  </r>
  <r>
    <x v="22"/>
    <x v="22"/>
    <s v="023_ACMA1+23_5_2"/>
    <x v="61"/>
    <x v="1"/>
  </r>
  <r>
    <x v="22"/>
    <x v="22"/>
    <s v="023_ACMA1+23_5_3"/>
    <x v="67"/>
    <x v="0"/>
  </r>
  <r>
    <x v="22"/>
    <x v="22"/>
    <s v="023_ACMA1+23_5_4"/>
    <x v="68"/>
    <x v="0"/>
  </r>
  <r>
    <x v="22"/>
    <x v="22"/>
    <s v="023_ACMA1+23_5_5"/>
    <x v="69"/>
    <x v="0"/>
  </r>
  <r>
    <x v="23"/>
    <x v="23"/>
    <s v="024_SOPN1+24_4_1"/>
    <x v="70"/>
    <x v="0"/>
  </r>
  <r>
    <x v="23"/>
    <x v="23"/>
    <s v="024_SOPN1+24_4_2"/>
    <x v="71"/>
    <x v="0"/>
  </r>
  <r>
    <x v="23"/>
    <x v="23"/>
    <s v="024_SOPN1+24_4_3"/>
    <x v="72"/>
    <x v="0"/>
  </r>
  <r>
    <x v="23"/>
    <x v="23"/>
    <s v="024_SOPN1+24_4_4"/>
    <x v="73"/>
    <x v="0"/>
  </r>
  <r>
    <x v="24"/>
    <x v="24"/>
    <s v="025_ACIP1+25_4_1"/>
    <x v="74"/>
    <x v="1"/>
  </r>
  <r>
    <x v="24"/>
    <x v="24"/>
    <s v="025_ACIP1+25_4_2"/>
    <x v="75"/>
    <x v="0"/>
  </r>
  <r>
    <x v="24"/>
    <x v="24"/>
    <s v="025_ACIP1+25_4_3"/>
    <x v="76"/>
    <x v="0"/>
  </r>
  <r>
    <x v="24"/>
    <x v="24"/>
    <s v="025_ACIP1+25_4_4"/>
    <x v="77"/>
    <x v="0"/>
  </r>
  <r>
    <x v="25"/>
    <x v="25"/>
    <s v="026_EEBA1+26_3_1"/>
    <x v="78"/>
    <x v="0"/>
  </r>
  <r>
    <x v="25"/>
    <x v="25"/>
    <s v="026_EEBA1+26_3_2"/>
    <x v="79"/>
    <x v="1"/>
  </r>
  <r>
    <x v="25"/>
    <x v="25"/>
    <s v="026_EEBA1+26_3_3"/>
    <x v="80"/>
    <x v="0"/>
  </r>
  <r>
    <x v="26"/>
    <x v="26"/>
    <s v="027_SNSS1+27_3_1"/>
    <x v="70"/>
    <x v="0"/>
  </r>
  <r>
    <x v="26"/>
    <x v="26"/>
    <s v="027_SNSS1+27_3_2"/>
    <x v="81"/>
    <x v="1"/>
  </r>
  <r>
    <x v="26"/>
    <x v="26"/>
    <s v="027_SNSS1+27_3_3"/>
    <x v="82"/>
    <x v="0"/>
  </r>
  <r>
    <x v="27"/>
    <x v="27"/>
    <s v="028_RVLC1+28_3_1"/>
    <x v="83"/>
    <x v="1"/>
  </r>
  <r>
    <x v="27"/>
    <x v="27"/>
    <s v="028_RVLC1+28_3_2"/>
    <x v="84"/>
    <x v="0"/>
  </r>
  <r>
    <x v="27"/>
    <x v="27"/>
    <s v="028_RVLC1+28_3_3"/>
    <x v="85"/>
    <x v="0"/>
  </r>
  <r>
    <x v="28"/>
    <x v="28"/>
    <s v="029_AVES1+29_4_1"/>
    <x v="70"/>
    <x v="0"/>
  </r>
  <r>
    <x v="28"/>
    <x v="28"/>
    <s v="029_AVES1+29_4_2"/>
    <x v="86"/>
    <x v="0"/>
  </r>
  <r>
    <x v="28"/>
    <x v="28"/>
    <s v="029_AVES1+29_4_3"/>
    <x v="87"/>
    <x v="1"/>
  </r>
  <r>
    <x v="28"/>
    <x v="28"/>
    <s v="029_AVES1+29_4_4"/>
    <x v="88"/>
    <x v="0"/>
  </r>
  <r>
    <x v="29"/>
    <x v="29"/>
    <s v="030_VAME1+30_3_1"/>
    <x v="78"/>
    <x v="1"/>
  </r>
  <r>
    <x v="29"/>
    <x v="29"/>
    <s v="030_VAME1+30_3_2"/>
    <x v="89"/>
    <x v="0"/>
  </r>
  <r>
    <x v="29"/>
    <x v="29"/>
    <s v="030_VAME1+30_3_3"/>
    <x v="90"/>
    <x v="0"/>
  </r>
  <r>
    <x v="30"/>
    <x v="30"/>
    <s v="031_PP1G1+31_3_1"/>
    <x v="91"/>
    <x v="0"/>
  </r>
  <r>
    <x v="30"/>
    <x v="30"/>
    <s v="031_PP1G1+31_3_2"/>
    <x v="92"/>
    <x v="0"/>
  </r>
  <r>
    <x v="30"/>
    <x v="30"/>
    <s v="031_PP1G1+31_3_3"/>
    <x v="93"/>
    <x v="1"/>
  </r>
  <r>
    <x v="31"/>
    <x v="31"/>
    <s v="032_AVNP1+32_4_1"/>
    <x v="70"/>
    <x v="0"/>
  </r>
  <r>
    <x v="31"/>
    <x v="31"/>
    <s v="032_AVNP1+32_4_2"/>
    <x v="94"/>
    <x v="0"/>
  </r>
  <r>
    <x v="31"/>
    <x v="31"/>
    <s v="032_AVNP1+32_4_3"/>
    <x v="87"/>
    <x v="0"/>
  </r>
  <r>
    <x v="31"/>
    <x v="31"/>
    <s v="032_AVNP1+32_4_4"/>
    <x v="95"/>
    <x v="1"/>
  </r>
  <r>
    <x v="32"/>
    <x v="32"/>
    <s v="033_RITP1+33_3_1"/>
    <x v="96"/>
    <x v="0"/>
  </r>
  <r>
    <x v="32"/>
    <x v="32"/>
    <s v="033_RITP1+33_3_2"/>
    <x v="97"/>
    <x v="0"/>
  </r>
  <r>
    <x v="32"/>
    <x v="32"/>
    <s v="033_RITP1+33_3_3"/>
    <x v="98"/>
    <x v="1"/>
  </r>
  <r>
    <x v="33"/>
    <x v="33"/>
    <s v="034_60RU1+34_1_1"/>
    <x v="99"/>
    <x v="0"/>
  </r>
  <r>
    <x v="34"/>
    <x v="34"/>
    <s v="035_ARAT1+35_5_1"/>
    <x v="100"/>
    <x v="0"/>
  </r>
  <r>
    <x v="34"/>
    <x v="34"/>
    <s v="035_ARAT1+35_5_2"/>
    <x v="42"/>
    <x v="1"/>
  </r>
  <r>
    <x v="34"/>
    <x v="34"/>
    <s v="035_ARAT1+35_5_3"/>
    <x v="101"/>
    <x v="0"/>
  </r>
  <r>
    <x v="34"/>
    <x v="34"/>
    <s v="035_ARAT1+35_5_4"/>
    <x v="102"/>
    <x v="0"/>
  </r>
  <r>
    <x v="34"/>
    <x v="34"/>
    <s v="035_ARAT1+35_5_5"/>
    <x v="103"/>
    <x v="0"/>
  </r>
  <r>
    <x v="35"/>
    <x v="35"/>
    <s v="036_PP2G1+36_3_1"/>
    <x v="93"/>
    <x v="1"/>
  </r>
  <r>
    <x v="35"/>
    <x v="35"/>
    <s v="036_PP2G1+36_3_2"/>
    <x v="104"/>
    <x v="0"/>
  </r>
  <r>
    <x v="36"/>
    <x v="36"/>
    <s v="037_ACNO1+37_1_1"/>
    <x v="105"/>
    <x v="1"/>
  </r>
  <r>
    <x v="37"/>
    <x v="37"/>
    <s v="038_PBCH1+38_1_1"/>
    <x v="106"/>
    <x v="1"/>
  </r>
  <r>
    <x v="38"/>
    <x v="38"/>
    <s v="039_PP3G1+39_3_1"/>
    <x v="104"/>
    <x v="1"/>
  </r>
  <r>
    <x v="38"/>
    <x v="38"/>
    <s v="039_PP3G1+39_3_2"/>
    <x v="107"/>
    <x v="0"/>
  </r>
  <r>
    <x v="38"/>
    <x v="38"/>
    <s v="039_PP3G1+39_3_3"/>
    <x v="108"/>
    <x v="0"/>
  </r>
  <r>
    <x v="38"/>
    <x v="38"/>
    <s v="039_PP3G1+39_3_4"/>
    <x v="109"/>
    <x v="0"/>
  </r>
  <r>
    <x v="38"/>
    <x v="38"/>
    <s v="039_PP3G1+39_3_5"/>
    <x v="110"/>
    <x v="0"/>
  </r>
  <r>
    <x v="39"/>
    <x v="39"/>
    <s v="040_EIMQ1+40_1_1"/>
    <x v="111"/>
    <x v="1"/>
  </r>
  <r>
    <x v="40"/>
    <x v="40"/>
    <s v="041_EIMC1+41_1_1"/>
    <x v="111"/>
    <x v="1"/>
  </r>
  <r>
    <x v="41"/>
    <x v="41"/>
    <s v="042_ACHA1+42_2_1"/>
    <x v="112"/>
    <x v="1"/>
  </r>
  <r>
    <x v="41"/>
    <x v="41"/>
    <s v="042_ACHA1+42_2_2"/>
    <x v="113"/>
    <x v="0"/>
  </r>
  <r>
    <x v="42"/>
    <x v="42"/>
    <s v="043_CSJS1+43_3_1"/>
    <x v="114"/>
    <x v="1"/>
  </r>
  <r>
    <x v="42"/>
    <x v="42"/>
    <s v="043_CSJS1+43_3_2"/>
    <x v="115"/>
    <x v="0"/>
  </r>
  <r>
    <x v="42"/>
    <x v="42"/>
    <s v="043_CSJS1+43_3_3"/>
    <x v="116"/>
    <x v="0"/>
  </r>
  <r>
    <x v="43"/>
    <x v="43"/>
    <s v="044_PCIS1+44_2_1"/>
    <x v="112"/>
    <x v="0"/>
  </r>
  <r>
    <x v="43"/>
    <x v="43"/>
    <s v="044_PCIS1+44_2_2"/>
    <x v="117"/>
    <x v="1"/>
  </r>
  <r>
    <x v="44"/>
    <x v="44"/>
    <s v="045_ETPO1+45_1_1"/>
    <x v="118"/>
    <x v="1"/>
  </r>
  <r>
    <x v="45"/>
    <x v="45"/>
    <s v="046_ECVI1+46_1_1"/>
    <x v="119"/>
    <x v="1"/>
  </r>
  <r>
    <x v="46"/>
    <x v="46"/>
    <s v="047_PTLA1+47_3_1"/>
    <x v="120"/>
    <x v="0"/>
  </r>
  <r>
    <x v="46"/>
    <x v="46"/>
    <s v="047_PTLA1+47_3_2"/>
    <x v="112"/>
    <x v="1"/>
  </r>
  <r>
    <x v="46"/>
    <x v="46"/>
    <s v="047_PTLA1+47_3_3"/>
    <x v="121"/>
    <x v="0"/>
  </r>
  <r>
    <x v="47"/>
    <x v="47"/>
    <s v="048_VVSK1+48_2_1"/>
    <x v="122"/>
    <x v="0"/>
  </r>
  <r>
    <x v="47"/>
    <x v="47"/>
    <s v="048_VVSK1+48_2_2"/>
    <x v="123"/>
    <x v="0"/>
  </r>
  <r>
    <x v="48"/>
    <x v="48"/>
    <s v="049_CVSR1+49_3_1"/>
    <x v="124"/>
    <x v="1"/>
  </r>
  <r>
    <x v="48"/>
    <x v="48"/>
    <s v="049_CVSR1+49_3_2"/>
    <x v="125"/>
    <x v="0"/>
  </r>
  <r>
    <x v="48"/>
    <x v="48"/>
    <s v="049_CVSR1+49_3_3"/>
    <x v="126"/>
    <x v="0"/>
  </r>
  <r>
    <x v="49"/>
    <x v="49"/>
    <s v="050_ETTT1+50_2_1"/>
    <x v="127"/>
    <x v="0"/>
  </r>
  <r>
    <x v="49"/>
    <x v="49"/>
    <s v="050_ETTT1+50_2_2"/>
    <x v="128"/>
    <x v="0"/>
  </r>
  <r>
    <x v="50"/>
    <x v="50"/>
    <s v="051_CTSR1+51_4_1"/>
    <x v="127"/>
    <x v="0"/>
  </r>
  <r>
    <x v="50"/>
    <x v="50"/>
    <s v="051_CTSR1+51_4_2"/>
    <x v="125"/>
    <x v="1"/>
  </r>
  <r>
    <x v="50"/>
    <x v="50"/>
    <s v="051_CTSR1+51_4_3"/>
    <x v="129"/>
    <x v="0"/>
  </r>
  <r>
    <x v="50"/>
    <x v="50"/>
    <s v="051_CTSR1+51_4_4"/>
    <x v="130"/>
    <x v="0"/>
  </r>
  <r>
    <x v="51"/>
    <x v="51"/>
    <s v="052_160R1+52_6_1"/>
    <x v="131"/>
    <x v="1"/>
  </r>
  <r>
    <x v="51"/>
    <x v="51"/>
    <s v="052_160R1+52_6_2"/>
    <x v="132"/>
    <x v="0"/>
  </r>
  <r>
    <x v="51"/>
    <x v="51"/>
    <s v="052_160R1+52_6_3"/>
    <x v="133"/>
    <x v="0"/>
  </r>
  <r>
    <x v="51"/>
    <x v="51"/>
    <s v="052_160R1+52_6_4"/>
    <x v="134"/>
    <x v="0"/>
  </r>
  <r>
    <x v="51"/>
    <x v="51"/>
    <s v="052_160R1+52_6_5"/>
    <x v="135"/>
    <x v="0"/>
  </r>
  <r>
    <x v="51"/>
    <x v="51"/>
    <s v="052_160R1+52_6_6"/>
    <x v="136"/>
    <x v="0"/>
  </r>
  <r>
    <x v="52"/>
    <x v="52"/>
    <s v="053_ADAI2+53_6_1"/>
    <x v="137"/>
    <x v="1"/>
  </r>
  <r>
    <x v="52"/>
    <x v="52"/>
    <s v="053_ADAI2+53_6_2"/>
    <x v="138"/>
    <x v="0"/>
  </r>
  <r>
    <x v="52"/>
    <x v="52"/>
    <s v="053_ADAI2+53_6_3"/>
    <x v="42"/>
    <x v="0"/>
  </r>
  <r>
    <x v="52"/>
    <x v="52"/>
    <s v="053_ADAI2+53_6_4"/>
    <x v="139"/>
    <x v="0"/>
  </r>
  <r>
    <x v="52"/>
    <x v="52"/>
    <s v="053_ADAI2+53_6_5"/>
    <x v="112"/>
    <x v="0"/>
  </r>
  <r>
    <x v="52"/>
    <x v="52"/>
    <s v="053_ADAI2+53_6_6"/>
    <x v="140"/>
    <x v="0"/>
  </r>
  <r>
    <x v="53"/>
    <x v="53"/>
    <s v="054_ATEP2+54_7_1"/>
    <x v="42"/>
    <x v="0"/>
  </r>
  <r>
    <x v="53"/>
    <x v="53"/>
    <s v="054_ATEP2+54_7_2"/>
    <x v="139"/>
    <x v="0"/>
  </r>
  <r>
    <x v="53"/>
    <x v="53"/>
    <s v="054_ATEP2+54_7_3"/>
    <x v="137"/>
    <x v="0"/>
  </r>
  <r>
    <x v="53"/>
    <x v="53"/>
    <s v="054_ATEP2+54_7_4"/>
    <x v="112"/>
    <x v="0"/>
  </r>
  <r>
    <x v="53"/>
    <x v="53"/>
    <s v="054_ATEP2+54_7_5"/>
    <x v="138"/>
    <x v="1"/>
  </r>
  <r>
    <x v="53"/>
    <x v="53"/>
    <s v="054_ATEP2+54_7_6"/>
    <x v="140"/>
    <x v="0"/>
  </r>
  <r>
    <x v="53"/>
    <x v="53"/>
    <s v="054_ATEP2+54_7_7"/>
    <x v="141"/>
    <x v="0"/>
  </r>
  <r>
    <x v="54"/>
    <x v="54"/>
    <s v="055_60GR1+55_3_1"/>
    <x v="142"/>
    <x v="1"/>
  </r>
  <r>
    <x v="54"/>
    <x v="54"/>
    <s v="055_60GR1+55_3_2"/>
    <x v="129"/>
    <x v="0"/>
  </r>
  <r>
    <x v="54"/>
    <x v="54"/>
    <s v="055_60GR1+55_3_3"/>
    <x v="143"/>
    <x v="0"/>
  </r>
  <r>
    <x v="55"/>
    <x v="55"/>
    <s v="056_VCAL1+56_6_1"/>
    <x v="144"/>
    <x v="0"/>
  </r>
  <r>
    <x v="55"/>
    <x v="55"/>
    <s v="056_VCAL1+56_6_2"/>
    <x v="145"/>
    <x v="0"/>
  </r>
  <r>
    <x v="55"/>
    <x v="55"/>
    <s v="056_VCAL1+56_6_3"/>
    <x v="146"/>
    <x v="0"/>
  </r>
  <r>
    <x v="55"/>
    <x v="55"/>
    <s v="056_VCAL1+56_6_4"/>
    <x v="134"/>
    <x v="0"/>
  </r>
  <r>
    <x v="55"/>
    <x v="55"/>
    <s v="056_VCAL1+56_6_5"/>
    <x v="147"/>
    <x v="0"/>
  </r>
  <r>
    <x v="55"/>
    <x v="55"/>
    <s v="056_VCAL1+56_6_6"/>
    <x v="105"/>
    <x v="1"/>
  </r>
  <r>
    <x v="56"/>
    <x v="56"/>
    <s v="057_CMVR1+57_5_1"/>
    <x v="148"/>
    <x v="0"/>
  </r>
  <r>
    <x v="56"/>
    <x v="56"/>
    <s v="057_CMVR1+57_5_2"/>
    <x v="149"/>
    <x v="0"/>
  </r>
  <r>
    <x v="56"/>
    <x v="56"/>
    <s v="057_CMVR1+57_5_3"/>
    <x v="150"/>
    <x v="1"/>
  </r>
  <r>
    <x v="56"/>
    <x v="56"/>
    <s v="057_CMVR1+57_5_4"/>
    <x v="151"/>
    <x v="0"/>
  </r>
  <r>
    <x v="56"/>
    <x v="56"/>
    <s v="057_CMVR1+57_5_5"/>
    <x v="152"/>
    <x v="0"/>
  </r>
  <r>
    <x v="57"/>
    <x v="57"/>
    <s v="058_AVAM2+58_5_1"/>
    <x v="142"/>
    <x v="0"/>
  </r>
  <r>
    <x v="57"/>
    <x v="57"/>
    <s v="058_AVAM2+58_5_2"/>
    <x v="112"/>
    <x v="0"/>
  </r>
  <r>
    <x v="57"/>
    <x v="57"/>
    <s v="058_AVAM2+58_5_3"/>
    <x v="153"/>
    <x v="0"/>
  </r>
  <r>
    <x v="57"/>
    <x v="57"/>
    <s v="058_AVAM2+58_5_4"/>
    <x v="154"/>
    <x v="0"/>
  </r>
  <r>
    <x v="57"/>
    <x v="57"/>
    <s v="058_AVAM2+58_5_5"/>
    <x v="155"/>
    <x v="1"/>
  </r>
  <r>
    <x v="58"/>
    <x v="58"/>
    <s v="059_HSMF1+59_4_1"/>
    <x v="156"/>
    <x v="1"/>
  </r>
  <r>
    <x v="58"/>
    <x v="58"/>
    <s v="059_HSMF1+59_4_2"/>
    <x v="157"/>
    <x v="0"/>
  </r>
  <r>
    <x v="58"/>
    <x v="58"/>
    <s v="059_HSMF1+59_4_3"/>
    <x v="158"/>
    <x v="0"/>
  </r>
  <r>
    <x v="58"/>
    <x v="58"/>
    <s v="059_HSMF1+59_4_4"/>
    <x v="159"/>
    <x v="0"/>
  </r>
  <r>
    <x v="59"/>
    <x v="59"/>
    <s v="060_66RF1+60_2_1"/>
    <x v="160"/>
    <x v="1"/>
  </r>
  <r>
    <x v="59"/>
    <x v="59"/>
    <s v="060_66RF1+60_2_2"/>
    <x v="161"/>
    <x v="0"/>
  </r>
  <r>
    <x v="60"/>
    <x v="60"/>
    <s v="061_PMPA1+61_3_1"/>
    <x v="162"/>
    <x v="0"/>
  </r>
  <r>
    <x v="60"/>
    <x v="60"/>
    <s v="061_PMPA1+61_3_2"/>
    <x v="160"/>
    <x v="0"/>
  </r>
  <r>
    <x v="60"/>
    <x v="60"/>
    <s v="061_PMPA1+61_3_3"/>
    <x v="163"/>
    <x v="1"/>
  </r>
  <r>
    <x v="61"/>
    <x v="61"/>
    <s v="062_NARA1+62_5_1"/>
    <x v="100"/>
    <x v="0"/>
  </r>
  <r>
    <x v="61"/>
    <x v="61"/>
    <s v="062_NARA1+62_5_2"/>
    <x v="42"/>
    <x v="1"/>
  </r>
  <r>
    <x v="61"/>
    <x v="61"/>
    <s v="062_NARA1+62_5_3"/>
    <x v="101"/>
    <x v="0"/>
  </r>
  <r>
    <x v="61"/>
    <x v="61"/>
    <s v="062_NARA1+62_5_4"/>
    <x v="102"/>
    <x v="0"/>
  </r>
  <r>
    <x v="61"/>
    <x v="61"/>
    <s v="062_NARA1+62_5_5"/>
    <x v="103"/>
    <x v="0"/>
  </r>
  <r>
    <x v="62"/>
    <x v="62"/>
    <s v="063_ACIP2+63_5_1"/>
    <x v="164"/>
    <x v="0"/>
  </r>
  <r>
    <x v="62"/>
    <x v="62"/>
    <s v="063_ACIP2+63_5_2"/>
    <x v="165"/>
    <x v="1"/>
  </r>
  <r>
    <x v="62"/>
    <x v="62"/>
    <s v="063_ACIP2+63_5_3"/>
    <x v="166"/>
    <x v="0"/>
  </r>
  <r>
    <x v="62"/>
    <x v="62"/>
    <s v="063_ACIP2+63_5_4"/>
    <x v="42"/>
    <x v="0"/>
  </r>
  <r>
    <x v="62"/>
    <x v="62"/>
    <s v="063_ACIP2+63_5_5"/>
    <x v="167"/>
    <x v="0"/>
  </r>
  <r>
    <x v="63"/>
    <x v="63"/>
    <s v="064_PP2G2+64_1_1"/>
    <x v="168"/>
    <x v="1"/>
  </r>
  <r>
    <x v="64"/>
    <x v="64"/>
    <s v="065_AURA1+65_4_1"/>
    <x v="169"/>
    <x v="0"/>
  </r>
  <r>
    <x v="64"/>
    <x v="64"/>
    <s v="065_AURA1+65_4_2"/>
    <x v="161"/>
    <x v="0"/>
  </r>
  <r>
    <x v="64"/>
    <x v="64"/>
    <s v="065_AURA1+65_4_3"/>
    <x v="160"/>
    <x v="0"/>
  </r>
  <r>
    <x v="64"/>
    <x v="64"/>
    <s v="065_AURA1+65_4_4"/>
    <x v="170"/>
    <x v="1"/>
  </r>
  <r>
    <x v="65"/>
    <x v="65"/>
    <s v="066_ALOA2+66_5_1"/>
    <x v="112"/>
    <x v="0"/>
  </r>
  <r>
    <x v="65"/>
    <x v="65"/>
    <s v="066_ALOA2+66_5_2"/>
    <x v="165"/>
    <x v="1"/>
  </r>
  <r>
    <x v="65"/>
    <x v="65"/>
    <s v="066_ALOA2+66_5_3"/>
    <x v="171"/>
    <x v="0"/>
  </r>
  <r>
    <x v="65"/>
    <x v="65"/>
    <s v="066_ALOA2+66_5_4"/>
    <x v="129"/>
    <x v="0"/>
  </r>
  <r>
    <x v="65"/>
    <x v="65"/>
    <s v="066_ALOA2+66_5_5"/>
    <x v="164"/>
    <x v="0"/>
  </r>
  <r>
    <x v="66"/>
    <x v="66"/>
    <s v="067_ACIQ1+67_5_1"/>
    <x v="172"/>
    <x v="0"/>
  </r>
  <r>
    <x v="66"/>
    <x v="66"/>
    <s v="067_ACIQ1+67_5_2"/>
    <x v="173"/>
    <x v="0"/>
  </r>
  <r>
    <x v="66"/>
    <x v="66"/>
    <s v="067_ACIQ1+67_5_3"/>
    <x v="174"/>
    <x v="0"/>
  </r>
  <r>
    <x v="66"/>
    <x v="66"/>
    <s v="067_ACIQ1+67_5_4"/>
    <x v="162"/>
    <x v="1"/>
  </r>
  <r>
    <x v="66"/>
    <x v="66"/>
    <s v="067_ACIQ1+67_5_5"/>
    <x v="175"/>
    <x v="0"/>
  </r>
  <r>
    <x v="67"/>
    <x v="67"/>
    <s v="068_COCA1+68_3_1"/>
    <x v="176"/>
    <x v="0"/>
  </r>
  <r>
    <x v="67"/>
    <x v="67"/>
    <s v="068_COCA1+68_3_2"/>
    <x v="177"/>
    <x v="0"/>
  </r>
  <r>
    <x v="67"/>
    <x v="67"/>
    <s v="068_COCA1+68_3_3"/>
    <x v="162"/>
    <x v="0"/>
  </r>
  <r>
    <x v="68"/>
    <x v="68"/>
    <s v="069_ACMA2+69_8_1"/>
    <x v="165"/>
    <x v="0"/>
  </r>
  <r>
    <x v="68"/>
    <x v="68"/>
    <s v="069_ACMA2+69_8_2"/>
    <x v="178"/>
    <x v="0"/>
  </r>
  <r>
    <x v="68"/>
    <x v="68"/>
    <s v="069_ACMA2+69_8_3"/>
    <x v="179"/>
    <x v="1"/>
  </r>
  <r>
    <x v="68"/>
    <x v="68"/>
    <s v="069_ACMA2+69_8_4"/>
    <x v="180"/>
    <x v="0"/>
  </r>
  <r>
    <x v="68"/>
    <x v="68"/>
    <s v="069_ACMA2+69_8_5"/>
    <x v="42"/>
    <x v="0"/>
  </r>
  <r>
    <x v="68"/>
    <x v="68"/>
    <s v="069_ACMA2+69_8_6"/>
    <x v="181"/>
    <x v="0"/>
  </r>
  <r>
    <x v="68"/>
    <x v="68"/>
    <s v="069_ACMA2+69_8_7"/>
    <x v="182"/>
    <x v="0"/>
  </r>
  <r>
    <x v="68"/>
    <x v="68"/>
    <s v="069_ACMA2+69_8_8"/>
    <x v="183"/>
    <x v="0"/>
  </r>
  <r>
    <x v="69"/>
    <x v="69"/>
    <s v="070_43RU1+70_3_1"/>
    <x v="184"/>
    <x v="0"/>
  </r>
  <r>
    <x v="69"/>
    <x v="69"/>
    <s v="070_43RU1+70_3_2"/>
    <x v="185"/>
    <x v="0"/>
  </r>
  <r>
    <x v="69"/>
    <x v="69"/>
    <s v="070_43RU1+70_3_3"/>
    <x v="186"/>
    <x v="1"/>
  </r>
  <r>
    <x v="70"/>
    <x v="70"/>
    <s v="071_VALS1+71_4_1"/>
    <x v="187"/>
    <x v="0"/>
  </r>
  <r>
    <x v="70"/>
    <x v="70"/>
    <s v="071_VALS1+71_4_2"/>
    <x v="176"/>
    <x v="0"/>
  </r>
  <r>
    <x v="70"/>
    <x v="70"/>
    <s v="071_VALS1+71_4_3"/>
    <x v="160"/>
    <x v="0"/>
  </r>
  <r>
    <x v="70"/>
    <x v="70"/>
    <s v="071_VALS1+71_4_4"/>
    <x v="162"/>
    <x v="1"/>
  </r>
  <r>
    <x v="71"/>
    <x v="71"/>
    <s v="072_RLOA1+72_3_2"/>
    <x v="162"/>
    <x v="0"/>
  </r>
  <r>
    <x v="71"/>
    <x v="71"/>
    <s v="072_RLOA1+72_3_2"/>
    <x v="188"/>
    <x v="1"/>
  </r>
  <r>
    <x v="71"/>
    <x v="71"/>
    <s v="072_RLOA1+72_3_3"/>
    <x v="177"/>
    <x v="0"/>
  </r>
  <r>
    <x v="72"/>
    <x v="72"/>
    <s v="073_ADAI3+73_3_1"/>
    <x v="179"/>
    <x v="1"/>
  </r>
  <r>
    <x v="72"/>
    <x v="72"/>
    <s v="073_ADAI3+73_3_2"/>
    <x v="165"/>
    <x v="0"/>
  </r>
  <r>
    <x v="72"/>
    <x v="72"/>
    <s v="073_ADAI3+73_3_3"/>
    <x v="181"/>
    <x v="0"/>
  </r>
  <r>
    <x v="73"/>
    <x v="73"/>
    <s v="074_ALFS2+74_5_1"/>
    <x v="165"/>
    <x v="1"/>
  </r>
  <r>
    <x v="73"/>
    <x v="73"/>
    <s v="074_ALFS2+74_5_2"/>
    <x v="179"/>
    <x v="0"/>
  </r>
  <r>
    <x v="73"/>
    <x v="73"/>
    <s v="074_ALFS2+74_5_3"/>
    <x v="171"/>
    <x v="0"/>
  </r>
  <r>
    <x v="73"/>
    <x v="73"/>
    <s v="074_ALFS2+74_5_4"/>
    <x v="42"/>
    <x v="0"/>
  </r>
  <r>
    <x v="73"/>
    <x v="73"/>
    <s v="074_ALFS2+74_5_5"/>
    <x v="181"/>
    <x v="0"/>
  </r>
  <r>
    <x v="74"/>
    <x v="74"/>
    <s v="075_HSAN1+75_6_1"/>
    <x v="189"/>
    <x v="0"/>
  </r>
  <r>
    <x v="74"/>
    <x v="74"/>
    <s v="075_HSAN1+75_6_2"/>
    <x v="190"/>
    <x v="0"/>
  </r>
  <r>
    <x v="74"/>
    <x v="74"/>
    <s v="075_HSAN1+75_6_3"/>
    <x v="191"/>
    <x v="0"/>
  </r>
  <r>
    <x v="74"/>
    <x v="74"/>
    <s v="075_HSAN1+75_6_4"/>
    <x v="192"/>
    <x v="0"/>
  </r>
  <r>
    <x v="74"/>
    <x v="74"/>
    <s v="075_HSAN1+75_6_5"/>
    <x v="193"/>
    <x v="0"/>
  </r>
  <r>
    <x v="74"/>
    <x v="74"/>
    <s v="075_HSAN1+75_6_6"/>
    <x v="194"/>
    <x v="1"/>
  </r>
  <r>
    <x v="75"/>
    <x v="75"/>
    <s v="076_NPIB1+76_3_1"/>
    <x v="195"/>
    <x v="0"/>
  </r>
  <r>
    <x v="75"/>
    <x v="75"/>
    <s v="076_NPIB1+76_3_2"/>
    <x v="162"/>
    <x v="0"/>
  </r>
  <r>
    <x v="75"/>
    <x v="75"/>
    <s v="076_NPIB1+76_3_3"/>
    <x v="196"/>
    <x v="1"/>
  </r>
  <r>
    <x v="76"/>
    <x v="76"/>
    <s v="077_CFLL1+77_3_1"/>
    <x v="197"/>
    <x v="1"/>
  </r>
  <r>
    <x v="76"/>
    <x v="76"/>
    <s v="077_CFLL1+77_3_2"/>
    <x v="198"/>
    <x v="0"/>
  </r>
  <r>
    <x v="76"/>
    <x v="76"/>
    <s v="077_CFLL1+77_3_3"/>
    <x v="129"/>
    <x v="0"/>
  </r>
  <r>
    <x v="77"/>
    <x v="77"/>
    <s v="078_1AVO1+78_2_1"/>
    <x v="182"/>
    <x v="1"/>
  </r>
  <r>
    <x v="77"/>
    <x v="77"/>
    <s v="078_1AVO1+78_2_2"/>
    <x v="199"/>
    <x v="0"/>
  </r>
  <r>
    <x v="78"/>
    <x v="78"/>
    <s v="079_ATEP3+79_5_1"/>
    <x v="42"/>
    <x v="0"/>
  </r>
  <r>
    <x v="78"/>
    <x v="78"/>
    <s v="079_ATEP3+79_5_2"/>
    <x v="179"/>
    <x v="0"/>
  </r>
  <r>
    <x v="78"/>
    <x v="78"/>
    <s v="079_ATEP3+79_5_3"/>
    <x v="165"/>
    <x v="0"/>
  </r>
  <r>
    <x v="78"/>
    <x v="78"/>
    <s v="079_ATEP3+79_5_4"/>
    <x v="200"/>
    <x v="0"/>
  </r>
  <r>
    <x v="78"/>
    <x v="78"/>
    <s v="079_ATEP3+79_5_5"/>
    <x v="181"/>
    <x v="1"/>
  </r>
  <r>
    <x v="79"/>
    <x v="79"/>
    <s v="080_HSSG1+80_4_1"/>
    <x v="201"/>
    <x v="1"/>
  </r>
  <r>
    <x v="79"/>
    <x v="79"/>
    <s v="080_HSSG1+80_4_2"/>
    <x v="202"/>
    <x v="0"/>
  </r>
  <r>
    <x v="79"/>
    <x v="79"/>
    <s v="080_HSSG1+80_4_3"/>
    <x v="203"/>
    <x v="0"/>
  </r>
  <r>
    <x v="79"/>
    <x v="79"/>
    <s v="080_HSSG1+80_4_4"/>
    <x v="204"/>
    <x v="0"/>
  </r>
  <r>
    <x v="80"/>
    <x v="80"/>
    <s v="081_HSFB1+81_3_1"/>
    <x v="189"/>
    <x v="1"/>
  </r>
  <r>
    <x v="80"/>
    <x v="80"/>
    <s v="081_HSFB1+81_3_2"/>
    <x v="203"/>
    <x v="0"/>
  </r>
  <r>
    <x v="80"/>
    <x v="80"/>
    <s v="081_HSFB1+81_3_3"/>
    <x v="204"/>
    <x v="0"/>
  </r>
  <r>
    <x v="81"/>
    <x v="81"/>
    <s v="082_AAMB2+82_5_1"/>
    <x v="205"/>
    <x v="0"/>
  </r>
  <r>
    <x v="81"/>
    <x v="81"/>
    <s v="082_AAMB2+82_5_2"/>
    <x v="206"/>
    <x v="0"/>
  </r>
  <r>
    <x v="81"/>
    <x v="81"/>
    <s v="082_AAMB2+82_5_3"/>
    <x v="207"/>
    <x v="0"/>
  </r>
  <r>
    <x v="81"/>
    <x v="81"/>
    <s v="082_AAMB2+82_5_4"/>
    <x v="208"/>
    <x v="1"/>
  </r>
  <r>
    <x v="81"/>
    <x v="81"/>
    <s v="082_AAMB2+82_5_5"/>
    <x v="209"/>
    <x v="0"/>
  </r>
  <r>
    <x v="82"/>
    <x v="82"/>
    <s v="083_EPUN1+83_1_1"/>
    <x v="210"/>
    <x v="1"/>
  </r>
  <r>
    <x v="83"/>
    <x v="83"/>
    <s v="084_TEME2+84_7_1"/>
    <x v="211"/>
    <x v="0"/>
  </r>
  <r>
    <x v="83"/>
    <x v="83"/>
    <s v="084_TEME2+84_7_2"/>
    <x v="212"/>
    <x v="0"/>
  </r>
  <r>
    <x v="83"/>
    <x v="83"/>
    <s v="084_TEME2+84_7_3"/>
    <x v="213"/>
    <x v="0"/>
  </r>
  <r>
    <x v="83"/>
    <x v="83"/>
    <s v="084_TEME2+84_7_4"/>
    <x v="214"/>
    <x v="1"/>
  </r>
  <r>
    <x v="83"/>
    <x v="83"/>
    <s v="084_TEME2+84_7_5"/>
    <x v="215"/>
    <x v="0"/>
  </r>
  <r>
    <x v="83"/>
    <x v="83"/>
    <s v="084_TEME2+84_7_6"/>
    <x v="216"/>
    <x v="0"/>
  </r>
  <r>
    <x v="83"/>
    <x v="83"/>
    <s v="084_TEME2+84_7_7"/>
    <x v="217"/>
    <x v="0"/>
  </r>
  <r>
    <x v="84"/>
    <x v="84"/>
    <s v="085_CNPU2+85_4_1"/>
    <x v="218"/>
    <x v="0"/>
  </r>
  <r>
    <x v="84"/>
    <x v="84"/>
    <s v="085_CNPU2+85_4_2"/>
    <x v="219"/>
    <x v="0"/>
  </r>
  <r>
    <x v="84"/>
    <x v="84"/>
    <s v="085_CNPU2+85_4_3"/>
    <x v="220"/>
    <x v="0"/>
  </r>
  <r>
    <x v="84"/>
    <x v="84"/>
    <s v="085_CNPU2+85_4_4"/>
    <x v="221"/>
    <x v="1"/>
  </r>
  <r>
    <x v="85"/>
    <x v="85"/>
    <s v="086_ACSU2+86_2_1"/>
    <x v="222"/>
    <x v="1"/>
  </r>
  <r>
    <x v="85"/>
    <x v="85"/>
    <s v="086_ACSU2+86_2_2"/>
    <x v="223"/>
    <x v="0"/>
  </r>
  <r>
    <x v="86"/>
    <x v="86"/>
    <s v="087_ADAI4+87_3_1"/>
    <x v="222"/>
    <x v="0"/>
  </r>
  <r>
    <x v="86"/>
    <x v="86"/>
    <s v="087_ADAI4+87_3_2"/>
    <x v="220"/>
    <x v="0"/>
  </r>
  <r>
    <x v="86"/>
    <x v="86"/>
    <s v="087_ADAI4+87_3_3"/>
    <x v="223"/>
    <x v="1"/>
  </r>
  <r>
    <x v="87"/>
    <x v="87"/>
    <s v="088_2AVO1+88_5_1"/>
    <x v="224"/>
    <x v="1"/>
  </r>
  <r>
    <x v="87"/>
    <x v="87"/>
    <s v="088_2AVO1+88_5_2"/>
    <x v="225"/>
    <x v="0"/>
  </r>
  <r>
    <x v="87"/>
    <x v="87"/>
    <s v="088_2AVO1+88_5_3"/>
    <x v="226"/>
    <x v="0"/>
  </r>
  <r>
    <x v="87"/>
    <x v="87"/>
    <s v="088_2AVO1+88_5_4"/>
    <x v="227"/>
    <x v="0"/>
  </r>
  <r>
    <x v="87"/>
    <x v="87"/>
    <s v="088_2AVO1+88_5_5"/>
    <x v="228"/>
    <x v="0"/>
  </r>
  <r>
    <x v="88"/>
    <x v="88"/>
    <s v="089_RNAH1+89_1_1"/>
    <x v="229"/>
    <x v="1"/>
  </r>
  <r>
    <x v="89"/>
    <x v="89"/>
    <s v="090_RLOA2+90_3_1"/>
    <x v="218"/>
    <x v="0"/>
  </r>
  <r>
    <x v="89"/>
    <x v="89"/>
    <s v="090_RLOA2+90_3_2"/>
    <x v="230"/>
    <x v="1"/>
  </r>
  <r>
    <x v="89"/>
    <x v="89"/>
    <s v="090_RLOA2+90_3_3"/>
    <x v="231"/>
    <x v="0"/>
  </r>
  <r>
    <x v="90"/>
    <x v="90"/>
    <s v="091_TELB1+91_1_1"/>
    <x v="232"/>
    <x v="1"/>
  </r>
  <r>
    <x v="91"/>
    <x v="91"/>
    <s v="092_ELPA1+92_5_1"/>
    <x v="233"/>
    <x v="0"/>
  </r>
  <r>
    <x v="91"/>
    <x v="91"/>
    <s v="092_ELPA1+92_5_2"/>
    <x v="234"/>
    <x v="0"/>
  </r>
  <r>
    <x v="91"/>
    <x v="91"/>
    <s v="092_ELPA1+92_5_3"/>
    <x v="231"/>
    <x v="0"/>
  </r>
  <r>
    <x v="91"/>
    <x v="91"/>
    <s v="092_ELPA1+92_5_4"/>
    <x v="235"/>
    <x v="0"/>
  </r>
  <r>
    <x v="91"/>
    <x v="91"/>
    <s v="092_ELPA1+92_5_5"/>
    <x v="236"/>
    <x v="1"/>
  </r>
  <r>
    <x v="92"/>
    <x v="92"/>
    <s v="093_67CV1+93_1_1"/>
    <x v="224"/>
    <x v="1"/>
  </r>
  <r>
    <x v="93"/>
    <x v="93"/>
    <s v="094_66RF2+94_1_1"/>
    <x v="231"/>
    <x v="1"/>
  </r>
  <r>
    <x v="94"/>
    <x v="94"/>
    <s v="095_ATEP4+95_2_1"/>
    <x v="237"/>
    <x v="1"/>
  </r>
  <r>
    <x v="94"/>
    <x v="94"/>
    <s v="095_ATEP4+95_2_2"/>
    <x v="238"/>
    <x v="0"/>
  </r>
  <r>
    <x v="95"/>
    <x v="95"/>
    <s v="097_21RG1+97_2_1"/>
    <x v="239"/>
    <x v="1"/>
  </r>
  <r>
    <x v="95"/>
    <x v="95"/>
    <s v="097_21RG1+97_2_2"/>
    <x v="234"/>
    <x v="0"/>
  </r>
  <r>
    <x v="96"/>
    <x v="96"/>
    <s v="098_LVLS2+98_1_1"/>
    <x v="220"/>
    <x v="1"/>
  </r>
  <r>
    <x v="97"/>
    <x v="97"/>
    <s v="099_ACHA2+99_4_1"/>
    <x v="240"/>
    <x v="0"/>
  </r>
  <r>
    <x v="97"/>
    <x v="97"/>
    <s v="099_ACHA2+99_4_2"/>
    <x v="237"/>
    <x v="1"/>
  </r>
  <r>
    <x v="97"/>
    <x v="97"/>
    <s v="099_ACHA2+99_4_3"/>
    <x v="241"/>
    <x v="0"/>
  </r>
  <r>
    <x v="97"/>
    <x v="97"/>
    <s v="099_ACHA2+99_4_4"/>
    <x v="222"/>
    <x v="0"/>
  </r>
  <r>
    <x v="98"/>
    <x v="98"/>
    <s v="100_RAUS1+100_1_1"/>
    <x v="242"/>
    <x v="1"/>
  </r>
  <r>
    <x v="99"/>
    <x v="99"/>
    <s v="101_TACH2+101_3_1"/>
    <x v="243"/>
    <x v="1"/>
  </r>
  <r>
    <x v="99"/>
    <x v="99"/>
    <s v="101_TACH2+101_3_2"/>
    <x v="220"/>
    <x v="0"/>
  </r>
  <r>
    <x v="99"/>
    <x v="99"/>
    <s v="101_TACH2+101_3_3"/>
    <x v="244"/>
    <x v="0"/>
  </r>
  <r>
    <x v="100"/>
    <x v="100"/>
    <s v="102_ALFS3+102_1_1"/>
    <x v="245"/>
    <x v="1"/>
  </r>
  <r>
    <x v="101"/>
    <x v="101"/>
    <s v="103_HRMA1+103_4_1"/>
    <x v="246"/>
    <x v="0"/>
  </r>
  <r>
    <x v="101"/>
    <x v="101"/>
    <s v="103_HRMA1+103_4_2"/>
    <x v="231"/>
    <x v="0"/>
  </r>
  <r>
    <x v="101"/>
    <x v="101"/>
    <s v="103_HRMA1+103_4_3"/>
    <x v="247"/>
    <x v="1"/>
  </r>
  <r>
    <x v="101"/>
    <x v="101"/>
    <s v="103_HRMA1+103_4_4"/>
    <x v="248"/>
    <x v="0"/>
  </r>
  <r>
    <x v="102"/>
    <x v="102"/>
    <s v="104_HBUP1+104_6_1"/>
    <x v="249"/>
    <x v="0"/>
  </r>
  <r>
    <x v="102"/>
    <x v="102"/>
    <s v="104_HBUP1+104_6_2"/>
    <x v="231"/>
    <x v="1"/>
  </r>
  <r>
    <x v="102"/>
    <x v="102"/>
    <s v="104_HBUP1+104_6_3"/>
    <x v="247"/>
    <x v="0"/>
  </r>
  <r>
    <x v="102"/>
    <x v="102"/>
    <s v="104_HBUP1+104_6_4"/>
    <x v="250"/>
    <x v="0"/>
  </r>
  <r>
    <x v="102"/>
    <x v="102"/>
    <s v="104_HBUP1+104_6_5"/>
    <x v="251"/>
    <x v="0"/>
  </r>
  <r>
    <x v="102"/>
    <x v="102"/>
    <s v="104_HBUP1+104_6_6"/>
    <x v="252"/>
    <x v="0"/>
  </r>
  <r>
    <x v="103"/>
    <x v="103"/>
    <s v="105_HRBB1+105_5_1"/>
    <x v="253"/>
    <x v="1"/>
  </r>
  <r>
    <x v="103"/>
    <x v="103"/>
    <s v="105_HRBB1+105_5_2"/>
    <x v="254"/>
    <x v="0"/>
  </r>
  <r>
    <x v="103"/>
    <x v="103"/>
    <s v="105_HRBB1+105_5_3"/>
    <x v="231"/>
    <x v="0"/>
  </r>
  <r>
    <x v="103"/>
    <x v="103"/>
    <s v="105_HRBB1+105_5_4"/>
    <x v="255"/>
    <x v="0"/>
  </r>
  <r>
    <x v="103"/>
    <x v="103"/>
    <s v="105_HRBB1+105_5_5"/>
    <x v="256"/>
    <x v="0"/>
  </r>
  <r>
    <x v="104"/>
    <x v="104"/>
    <s v="106_HRRL1+106_2_1"/>
    <x v="247"/>
    <x v="1"/>
  </r>
  <r>
    <x v="104"/>
    <x v="104"/>
    <s v="106_HRRL1+106_2_2"/>
    <x v="257"/>
    <x v="0"/>
  </r>
  <r>
    <x v="105"/>
    <x v="105"/>
    <s v="107_SASA2+107_7_1"/>
    <x v="220"/>
    <x v="2"/>
  </r>
  <r>
    <x v="105"/>
    <x v="105"/>
    <s v="107_SASA2+107_7_2"/>
    <x v="258"/>
    <x v="0"/>
  </r>
  <r>
    <x v="105"/>
    <x v="105"/>
    <s v="107_SASA2+107_7_3"/>
    <x v="259"/>
    <x v="0"/>
  </r>
  <r>
    <x v="105"/>
    <x v="105"/>
    <s v="107_SASA2+107_7_4"/>
    <x v="260"/>
    <x v="0"/>
  </r>
  <r>
    <x v="105"/>
    <x v="105"/>
    <s v="107_SASA2+107_7_5"/>
    <x v="261"/>
    <x v="0"/>
  </r>
  <r>
    <x v="105"/>
    <x v="105"/>
    <s v="107_SASA2+107_7_6"/>
    <x v="224"/>
    <x v="0"/>
  </r>
  <r>
    <x v="105"/>
    <x v="105"/>
    <s v="107_SASA2+107_7_7"/>
    <x v="243"/>
    <x v="0"/>
  </r>
  <r>
    <x v="106"/>
    <x v="106"/>
    <s v="108_HRQS1+108_2_1"/>
    <x v="262"/>
    <x v="2"/>
  </r>
  <r>
    <x v="106"/>
    <x v="106"/>
    <s v="108_HRQS1+108_2_2"/>
    <x v="255"/>
    <x v="0"/>
  </r>
  <r>
    <x v="107"/>
    <x v="107"/>
    <s v="113_INAC1+110_2_1"/>
    <x v="263"/>
    <x v="1"/>
  </r>
  <r>
    <x v="107"/>
    <x v="107"/>
    <s v="113_INAC1+110_2_2"/>
    <x v="264"/>
    <x v="0"/>
  </r>
  <r>
    <x v="108"/>
    <x v="108"/>
    <s v="115_CHCO2+115_3_1"/>
    <x v="231"/>
    <x v="0"/>
  </r>
  <r>
    <x v="108"/>
    <x v="108"/>
    <s v="115_CHCO2+115_3_2"/>
    <x v="265"/>
    <x v="0"/>
  </r>
  <r>
    <x v="108"/>
    <x v="108"/>
    <s v="115_CHCO2+115_3_3"/>
    <x v="266"/>
    <x v="1"/>
  </r>
  <r>
    <x v="109"/>
    <x v="109"/>
    <s v="117_HINN1+117_1_1"/>
    <x v="266"/>
    <x v="1"/>
  </r>
  <r>
    <x v="110"/>
    <x v="110"/>
    <s v="112_ALOA3+112_2_1"/>
    <x v="267"/>
    <x v="1"/>
  </r>
  <r>
    <x v="111"/>
    <x v="111"/>
    <s v="109_AVAM3+109_1_1"/>
    <x v="224"/>
    <x v="1"/>
  </r>
  <r>
    <x v="112"/>
    <x v="112"/>
    <s v="110_HRQQ1+110_4_1"/>
    <x v="263"/>
    <x v="0"/>
  </r>
  <r>
    <x v="112"/>
    <x v="112"/>
    <s v="110_HRQQ1+110_4_2"/>
    <x v="231"/>
    <x v="0"/>
  </r>
  <r>
    <x v="112"/>
    <x v="112"/>
    <s v="110_HRQQ1+110_4_3"/>
    <x v="255"/>
    <x v="0"/>
  </r>
  <r>
    <x v="112"/>
    <x v="112"/>
    <s v="110_HRQQ1+110_4_4"/>
    <x v="264"/>
    <x v="1"/>
  </r>
  <r>
    <x v="113"/>
    <x v="113"/>
    <s v="114_HROG1+114_1_1"/>
    <x v="264"/>
    <x v="1"/>
  </r>
  <r>
    <x v="114"/>
    <x v="114"/>
    <s v="119_ORSS1+119_3_1"/>
    <x v="268"/>
    <x v="1"/>
  </r>
  <r>
    <x v="114"/>
    <x v="114"/>
    <s v="119_ORSS1+119_3_2"/>
    <x v="269"/>
    <x v="0"/>
  </r>
  <r>
    <x v="114"/>
    <x v="114"/>
    <s v="119_ORSS1+119_3_3"/>
    <x v="270"/>
    <x v="0"/>
  </r>
  <r>
    <x v="115"/>
    <x v="115"/>
    <s v="125_ARNO1+125_1_1"/>
    <x v="271"/>
    <x v="1"/>
  </r>
  <r>
    <x v="116"/>
    <x v="116"/>
    <s v="126_PP4T1+126_1_1"/>
    <x v="272"/>
    <x v="1"/>
  </r>
  <r>
    <x v="117"/>
    <x v="117"/>
    <s v="120_SALV2+120_2_1"/>
    <x v="273"/>
    <x v="1"/>
  </r>
  <r>
    <x v="117"/>
    <x v="117"/>
    <s v="120_SALV2+120_2_2"/>
    <x v="220"/>
    <x v="0"/>
  </r>
  <r>
    <x v="118"/>
    <x v="118"/>
    <s v="121_ANCO2+121_4_1"/>
    <x v="274"/>
    <x v="0"/>
  </r>
  <r>
    <x v="118"/>
    <x v="118"/>
    <s v="121_ANCO2+121_4_2"/>
    <x v="275"/>
    <x v="0"/>
  </r>
  <r>
    <x v="118"/>
    <x v="118"/>
    <s v="121_ANCO2+121_4_3"/>
    <x v="276"/>
    <x v="0"/>
  </r>
  <r>
    <x v="118"/>
    <x v="118"/>
    <s v="121_ANCO2+121_4_4"/>
    <x v="220"/>
    <x v="1"/>
  </r>
  <r>
    <x v="119"/>
    <x v="119"/>
    <s v="118_ISVV2+118_2_1"/>
    <x v="220"/>
    <x v="1"/>
  </r>
  <r>
    <x v="119"/>
    <x v="119"/>
    <s v="118_ISVV2+118_2_1"/>
    <x v="270"/>
    <x v="0"/>
  </r>
  <r>
    <x v="120"/>
    <x v="120"/>
    <s v="122_NARA2+122_1_1"/>
    <x v="277"/>
    <x v="1"/>
  </r>
  <r>
    <x v="121"/>
    <x v="121"/>
    <s v="124_TERB2+124_2_1"/>
    <x v="278"/>
    <x v="1"/>
  </r>
  <r>
    <x v="121"/>
    <x v="121"/>
    <s v="124_TERB2+124_2_2"/>
    <x v="230"/>
    <x v="0"/>
  </r>
  <r>
    <x v="122"/>
    <x v="122"/>
    <s v="130_EPCO1+130_1_1"/>
    <x v="279"/>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4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05895B-0E00-4BFE-BDF7-46BC5BFB8A6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84" firstHeaderRow="1" firstDataRow="1" firstDataCol="1"/>
  <pivotFields count="5">
    <pivotField showAll="0">
      <items count="1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11"/>
        <item x="112"/>
        <item x="110"/>
        <item x="107"/>
        <item x="113"/>
        <item x="108"/>
        <item x="109"/>
        <item x="119"/>
        <item x="114"/>
        <item x="117"/>
        <item x="118"/>
        <item x="120"/>
        <item x="121"/>
        <item x="115"/>
        <item x="116"/>
        <item x="122"/>
        <item t="default"/>
      </items>
    </pivotField>
    <pivotField showAll="0" sortType="ascending">
      <items count="124">
        <item x="58"/>
        <item x="122"/>
        <item x="86"/>
        <item x="94"/>
        <item x="116"/>
        <item x="106"/>
        <item x="36"/>
        <item x="7"/>
        <item x="41"/>
        <item x="18"/>
        <item x="66"/>
        <item x="77"/>
        <item x="87"/>
        <item x="67"/>
        <item x="5"/>
        <item x="1"/>
        <item x="33"/>
        <item x="6"/>
        <item x="9"/>
        <item x="42"/>
        <item x="56"/>
        <item x="10"/>
        <item x="8"/>
        <item x="48"/>
        <item x="54"/>
        <item x="92"/>
        <item x="104"/>
        <item x="82"/>
        <item x="114"/>
        <item x="113"/>
        <item x="45"/>
        <item x="91"/>
        <item x="40"/>
        <item x="39"/>
        <item x="49"/>
        <item x="44"/>
        <item x="50"/>
        <item x="112"/>
        <item x="74"/>
        <item x="102"/>
        <item x="79"/>
        <item x="80"/>
        <item x="109"/>
        <item x="107"/>
        <item x="11"/>
        <item x="25"/>
        <item x="12"/>
        <item x="19"/>
        <item x="14"/>
        <item x="17"/>
        <item x="20"/>
        <item x="13"/>
        <item x="23"/>
        <item x="88"/>
        <item x="61"/>
        <item x="34"/>
        <item x="76"/>
        <item x="69"/>
        <item x="43"/>
        <item x="30"/>
        <item x="35"/>
        <item x="38"/>
        <item x="37"/>
        <item x="46"/>
        <item x="115"/>
        <item x="103"/>
        <item x="101"/>
        <item x="27"/>
        <item x="51"/>
        <item x="70"/>
        <item x="55"/>
        <item x="60"/>
        <item x="59"/>
        <item x="4"/>
        <item x="32"/>
        <item x="31"/>
        <item x="28"/>
        <item x="26"/>
        <item x="90"/>
        <item x="21"/>
        <item x="22"/>
        <item x="16"/>
        <item x="3"/>
        <item x="15"/>
        <item x="24"/>
        <item x="2"/>
        <item x="0"/>
        <item x="29"/>
        <item x="47"/>
        <item x="64"/>
        <item x="95"/>
        <item x="75"/>
        <item x="71"/>
        <item x="57"/>
        <item x="73"/>
        <item x="85"/>
        <item x="68"/>
        <item x="97"/>
        <item x="52"/>
        <item x="65"/>
        <item x="53"/>
        <item x="81"/>
        <item x="62"/>
        <item x="120"/>
        <item x="105"/>
        <item x="84"/>
        <item x="119"/>
        <item x="63"/>
        <item x="98"/>
        <item x="117"/>
        <item x="108"/>
        <item x="96"/>
        <item x="99"/>
        <item x="121"/>
        <item x="93"/>
        <item x="118"/>
        <item x="83"/>
        <item x="89"/>
        <item x="111"/>
        <item x="72"/>
        <item x="110"/>
        <item x="78"/>
        <item x="100"/>
        <item t="default"/>
      </items>
    </pivotField>
    <pivotField showAll="0"/>
    <pivotField axis="axisRow" dataField="1" showAll="0" sortType="ascending">
      <items count="281">
        <item x="108"/>
        <item x="67"/>
        <item x="246"/>
        <item x="235"/>
        <item x="255"/>
        <item x="158"/>
        <item x="131"/>
        <item x="261"/>
        <item x="23"/>
        <item x="165"/>
        <item x="63"/>
        <item x="259"/>
        <item x="62"/>
        <item x="77"/>
        <item x="69"/>
        <item x="192"/>
        <item x="240"/>
        <item x="141"/>
        <item x="102"/>
        <item x="216"/>
        <item x="137"/>
        <item x="210"/>
        <item x="189"/>
        <item x="74"/>
        <item x="99"/>
        <item x="122"/>
        <item x="155"/>
        <item x="87"/>
        <item x="81"/>
        <item x="70"/>
        <item x="112"/>
        <item x="132"/>
        <item x="277"/>
        <item x="214"/>
        <item x="183"/>
        <item x="129"/>
        <item x="153"/>
        <item x="78"/>
        <item x="68"/>
        <item x="76"/>
        <item x="71"/>
        <item x="236"/>
        <item x="226"/>
        <item x="266"/>
        <item x="61"/>
        <item x="199"/>
        <item x="227"/>
        <item x="178"/>
        <item x="36"/>
        <item x="142"/>
        <item x="8"/>
        <item x="22"/>
        <item x="126"/>
        <item x="10"/>
        <item x="100"/>
        <item x="269"/>
        <item x="125"/>
        <item x="73"/>
        <item x="134"/>
        <item x="154"/>
        <item x="161"/>
        <item x="233"/>
        <item x="128"/>
        <item x="164"/>
        <item x="101"/>
        <item x="179"/>
        <item x="157"/>
        <item x="203"/>
        <item x="138"/>
        <item x="83"/>
        <item x="47"/>
        <item x="140"/>
        <item x="209"/>
        <item x="50"/>
        <item x="6"/>
        <item x="245"/>
        <item x="223"/>
        <item x="167"/>
        <item x="48"/>
        <item x="207"/>
        <item x="118"/>
        <item x="166"/>
        <item x="51"/>
        <item x="0"/>
        <item x="242"/>
        <item x="86"/>
        <item x="56"/>
        <item x="98"/>
        <item x="82"/>
        <item x="34"/>
        <item x="95"/>
        <item x="88"/>
        <item x="169"/>
        <item x="147"/>
        <item x="93"/>
        <item x="229"/>
        <item x="218"/>
        <item x="195"/>
        <item x="124"/>
        <item x="119"/>
        <item x="238"/>
        <item x="1"/>
        <item x="133"/>
        <item x="185"/>
        <item x="64"/>
        <item x="234"/>
        <item x="117"/>
        <item x="16"/>
        <item x="177"/>
        <item x="2"/>
        <item x="31"/>
        <item x="244"/>
        <item x="260"/>
        <item x="12"/>
        <item x="197"/>
        <item x="13"/>
        <item x="17"/>
        <item x="46"/>
        <item x="239"/>
        <item x="5"/>
        <item x="243"/>
        <item x="20"/>
        <item x="103"/>
        <item x="201"/>
        <item x="3"/>
        <item x="32"/>
        <item x="26"/>
        <item x="38"/>
        <item x="11"/>
        <item x="7"/>
        <item x="4"/>
        <item x="55"/>
        <item x="53"/>
        <item x="159"/>
        <item x="21"/>
        <item x="191"/>
        <item x="204"/>
        <item x="247"/>
        <item x="54"/>
        <item x="113"/>
        <item x="96"/>
        <item x="25"/>
        <item x="27"/>
        <item x="15"/>
        <item x="127"/>
        <item x="84"/>
        <item x="19"/>
        <item x="57"/>
        <item x="30"/>
        <item x="145"/>
        <item x="106"/>
        <item x="184"/>
        <item x="144"/>
        <item x="33"/>
        <item x="258"/>
        <item x="58"/>
        <item x="231"/>
        <item x="237"/>
        <item x="267"/>
        <item x="271"/>
        <item x="194"/>
        <item x="156"/>
        <item x="130"/>
        <item x="52"/>
        <item x="148"/>
        <item x="49"/>
        <item x="146"/>
        <item x="136"/>
        <item x="232"/>
        <item x="14"/>
        <item x="18"/>
        <item x="24"/>
        <item x="28"/>
        <item x="215"/>
        <item x="225"/>
        <item x="188"/>
        <item x="160"/>
        <item x="163"/>
        <item x="256"/>
        <item x="279"/>
        <item x="272"/>
        <item x="254"/>
        <item x="257"/>
        <item x="251"/>
        <item x="171"/>
        <item x="180"/>
        <item x="241"/>
        <item x="42"/>
        <item x="66"/>
        <item x="59"/>
        <item x="60"/>
        <item x="252"/>
        <item x="109"/>
        <item x="111"/>
        <item x="110"/>
        <item x="193"/>
        <item x="121"/>
        <item x="40"/>
        <item x="45"/>
        <item x="75"/>
        <item x="9"/>
        <item x="206"/>
        <item x="107"/>
        <item x="149"/>
        <item x="270"/>
        <item x="224"/>
        <item x="264"/>
        <item x="172"/>
        <item x="174"/>
        <item x="213"/>
        <item x="205"/>
        <item x="80"/>
        <item x="278"/>
        <item x="217"/>
        <item x="150"/>
        <item x="89"/>
        <item x="143"/>
        <item x="222"/>
        <item x="181"/>
        <item x="72"/>
        <item x="94"/>
        <item x="29"/>
        <item x="190"/>
        <item x="44"/>
        <item x="41"/>
        <item x="43"/>
        <item x="116"/>
        <item x="268"/>
        <item x="265"/>
        <item x="230"/>
        <item x="274"/>
        <item x="275"/>
        <item x="249"/>
        <item x="152"/>
        <item x="105"/>
        <item x="115"/>
        <item x="212"/>
        <item x="211"/>
        <item x="198"/>
        <item x="97"/>
        <item x="79"/>
        <item x="219"/>
        <item x="208"/>
        <item x="173"/>
        <item x="114"/>
        <item x="248"/>
        <item x="92"/>
        <item x="250"/>
        <item x="253"/>
        <item x="262"/>
        <item x="263"/>
        <item x="90"/>
        <item x="176"/>
        <item x="221"/>
        <item x="196"/>
        <item x="135"/>
        <item x="182"/>
        <item x="139"/>
        <item x="200"/>
        <item x="187"/>
        <item x="175"/>
        <item x="85"/>
        <item x="37"/>
        <item x="65"/>
        <item x="186"/>
        <item x="202"/>
        <item x="162"/>
        <item x="220"/>
        <item x="123"/>
        <item x="151"/>
        <item x="170"/>
        <item x="168"/>
        <item x="120"/>
        <item x="91"/>
        <item x="35"/>
        <item x="39"/>
        <item x="228"/>
        <item x="273"/>
        <item x="276"/>
        <item x="104"/>
        <item t="default"/>
      </items>
    </pivotField>
    <pivotField showAll="0">
      <items count="4">
        <item x="0"/>
        <item x="1"/>
        <item x="2"/>
        <item t="default"/>
      </items>
    </pivotField>
  </pivotFields>
  <rowFields count="1">
    <field x="3"/>
  </rowFields>
  <rowItems count="2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t="grand">
      <x/>
    </i>
  </rowItems>
  <colItems count="1">
    <i/>
  </colItems>
  <dataFields count="1">
    <dataField name="Cuenta de Nombre oferent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A1:AI128" totalsRowShown="0" headerRowDxfId="39" dataDxfId="37" headerRowBorderDxfId="38" tableBorderDxfId="36" headerRowCellStyle="Normal_Hoja1">
  <autoFilter ref="A1:AI128" xr:uid="{1D629CF4-C472-4B9E-A105-412493DC473F}"/>
  <sortState xmlns:xlrd2="http://schemas.microsoft.com/office/spreadsheetml/2017/richdata2" ref="B2:AI128">
    <sortCondition sortBy="cellColor" ref="B1:B128" dxfId="35"/>
  </sortState>
  <tableColumns count="35">
    <tableColumn id="35" xr3:uid="{51A86E7B-74D4-4FC2-AD10-E5089F2EAB7C}" name="Max" dataDxfId="34">
      <calculatedColumnFormula>MAX($B$2:$B$128)</calculatedColumnFormula>
    </tableColumn>
    <tableColumn id="33" xr3:uid="{B847CA8D-C350-4F19-B0B8-2917E9EC5B6C}" name="Aux" dataDxfId="33">
      <calculatedColumnFormula array="1">IFERROR(MAX(--_xlfn.TEXTSPLIT(C2,";")),0)</calculatedColumnFormula>
    </tableColumn>
    <tableColumn id="36" xr3:uid="{E47F5A70-B048-4DBD-9AF1-48355874D056}" name="Shapes" dataDxfId="32"/>
    <tableColumn id="1" xr3:uid="{EBDE2C74-BB18-41CD-8BA6-80BB4E8B06B1}" name="Código proyecto"/>
    <tableColumn id="2" xr3:uid="{8994AC55-2992-4943-AB61-CF0DD8F7A78E}" name="Nombre de la Concesión " dataDxfId="31" dataCellStyle="Normal_Hoja4"/>
    <tableColumn id="3" xr3:uid="{199CE7EE-D5DD-4FFA-88F3-4B42D02F42E8}" name="NUM_Lic" dataDxfId="30"/>
    <tableColumn id="4" xr3:uid="{01B27C31-31AA-4F49-A1FD-C3C1240EB455}" name="Nombre de uso común"/>
    <tableColumn id="5" xr3:uid="{64C5A640-42EC-4144-B04D-666608CEAFE2}" name="Descripción " dataDxfId="29"/>
    <tableColumn id="6" xr3:uid="{13C62034-984D-4E5D-AB34-D275E07F5CFF}" name="Sector del proyecto" dataDxfId="28"/>
    <tableColumn id="7" xr3:uid="{A8E1B4AC-7E7D-43EE-B773-2387BED2697E}" name="Región geográfica" dataDxfId="27"/>
    <tableColumn id="8" xr3:uid="{ACB4D0A1-A214-4257-9A64-04AE08CBDCF0}" name="Link a mapa página web" dataDxfId="26"/>
    <tableColumn id="9" xr3:uid="{3F605780-9F24-461D-9698-7F8452C70D1E}" name="Origen" dataDxfId="25"/>
    <tableColumn id="10" xr3:uid="{281D68A1-621E-4015-9C81-9D94E9998382}" name="Fecha resolución declaración interes público" dataDxfId="24"/>
    <tableColumn id="11" xr3:uid="{13DDD2FD-8CA4-42D3-A2D5-F76365E0DBED}" name="Presupuesto oficial estimado" dataDxfId="23"/>
    <tableColumn id="12" xr3:uid="{AFC4B2C5-540B-4756-B680-CD2A7629D579}" name="Moneda" dataDxfId="22"/>
    <tableColumn id="13" xr3:uid="{4FD5FD1D-7705-4B4C-9A2E-A7A7BAF6E82D}" name="Link pagina web concesiones" dataDxfId="21"/>
    <tableColumn id="14" xr3:uid="{FF0D18CC-FA0A-42A1-95D9-3698F56C5ACF}" name="ESTADO" dataDxfId="20"/>
    <tableColumn id="15" xr3:uid="{3AE3E861-AFBE-4630-8BED-5CA5A76395D3}" name="Metodo de licitación" dataDxfId="19"/>
    <tableColumn id="16" xr3:uid="{D61F26D9-4B85-4C5D-85EF-D8159E5D7FA1}" name="Variable(s) de licitación" dataDxfId="18"/>
    <tableColumn id="17" xr3:uid="{9687CFD7-71C4-4072-BAAA-7FC78075F6B1}" name="Fecha llamado a licitación" dataDxfId="17"/>
    <tableColumn id="18" xr3:uid="{F33696E1-7AD1-464F-9199-3F6F741E9835}" name="Fecha recepción ofertas" dataDxfId="16"/>
    <tableColumn id="19" xr3:uid="{756DB67B-EA63-48D3-8F28-59AF88366085}" name="Fecha apertura económica" dataDxfId="15"/>
    <tableColumn id="20" xr3:uid="{22F790CF-19CD-4603-BF9F-2587C5A71936}" name="Fecha decreto adjudicación" dataDxfId="14"/>
    <tableColumn id="21" xr3:uid="{BB8AEA3E-D460-4F64-81D2-E3D08FB6D544}" name="Fecha publicación decreto adjudicación" dataDxfId="13"/>
    <tableColumn id="22" xr3:uid="{3A2DC6EE-EA8A-40F7-BAE0-1EA6BE4B5481}" name="Rut sociedad Concesionaria" dataDxfId="12"/>
    <tableColumn id="23" xr3:uid="{83CA2B19-8A13-4C41-9638-871A8314B5E6}" name="Nombre sociedad concesionaria" dataDxfId="11"/>
    <tableColumn id="24" xr3:uid="{31D5D919-9566-44A9-BDE9-6FEF13E2901A}" name="Link a CMF de SC" dataDxfId="10"/>
    <tableColumn id="25" xr3:uid="{2862DEB5-FE1F-45DF-BCB8-740E1822719D}" name="Fecha inicio del contrato de concesión" dataDxfId="9"/>
    <tableColumn id="26" xr3:uid="{B7C7929B-54AB-4155-9E19-ACF37DC76466}" name="Fecha término de la concesión" dataDxfId="8"/>
    <tableColumn id="27" xr3:uid="{90E5B86B-AE98-44B1-B104-70965591C697}" name="Plazo fijo / variable " dataDxfId="7"/>
    <tableColumn id="28" xr3:uid="{E800A02A-FACD-4C1E-B7D3-B714F52FD9DD}" name="Fecha inicio de obras" dataDxfId="6"/>
    <tableColumn id="29" xr3:uid="{D75CEDED-9144-4A02-857E-1E11FE744D55}" name="Fecha puesta servicio provisorio" dataDxfId="5"/>
    <tableColumn id="30" xr3:uid="{9306ADC6-CB38-41A8-854D-C5D6E10C5C6B}" name="Fecha puesta servicio definitivo" dataDxfId="4"/>
    <tableColumn id="31" xr3:uid="{7DEE930E-F463-4177-8D0D-8158058CE5A6}" name="Inversión Materializada estimada" dataDxfId="3"/>
    <tableColumn id="32" xr3:uid="{815A6E54-D54F-4981-A920-452331C73487}" name="% Avance obras físicas" dataDxfId="2"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
    <tableColumn id="3" xr3:uid="{09EFDC4D-986E-43B3-BC94-7B7B41772935}" name="Codigo oferente"/>
    <tableColumn id="4" xr3:uid="{6598E2A9-FC2E-4DDA-AF0A-F94F4B12052E}" name="Nombre oferente" dataDxfId="0"/>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ADF37F-6009-40A5-B33A-34CF51B18595}" name="Tabla3" displayName="Tabla3" ref="A1:E2" totalsRowShown="0">
  <autoFilter ref="A1:E2" xr:uid="{E7ADF37F-6009-40A5-B33A-34CF51B18595}"/>
  <tableColumns count="5">
    <tableColumn id="1" xr3:uid="{DE145151-CD40-4784-8BAC-19A2D8640DDA}" name="Código proyecto"/>
    <tableColumn id="2" xr3:uid="{0FB5B2A7-9357-40DD-8F63-7258CBB5965A}" name="Nombre de uso común"/>
    <tableColumn id="3" xr3:uid="{CAC1AC3A-4D5D-4591-9B43-E2C6F9C0F082}" name="Codigo oferente"/>
    <tableColumn id="4" xr3:uid="{BB46A915-2040-4680-9ED2-D4BA9118D4BB}" name="Nombre oferente"/>
    <tableColumn id="5" xr3:uid="{0C1DC836-387C-4D97-9242-473C4DF5811A}" name="Adjudicado"/>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6"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1733</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1734</v>
      </c>
    </row>
    <row r="9" spans="1:4" x14ac:dyDescent="0.3">
      <c r="A9" s="52" t="s">
        <v>36</v>
      </c>
      <c r="B9" s="35">
        <v>2</v>
      </c>
      <c r="C9" s="54">
        <v>2</v>
      </c>
      <c r="D9" s="57" t="s">
        <v>1734</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1734</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1734</v>
      </c>
    </row>
    <row r="17" spans="1:4" x14ac:dyDescent="0.3">
      <c r="A17" s="52" t="s">
        <v>385</v>
      </c>
      <c r="B17" s="35">
        <v>4</v>
      </c>
      <c r="C17" s="54">
        <v>4</v>
      </c>
    </row>
    <row r="18" spans="1:4" x14ac:dyDescent="0.3">
      <c r="A18" s="52" t="s">
        <v>309</v>
      </c>
      <c r="B18" s="35">
        <v>1</v>
      </c>
      <c r="C18" s="54">
        <v>0</v>
      </c>
      <c r="D18" s="57" t="s">
        <v>1734</v>
      </c>
    </row>
    <row r="19" spans="1:4" x14ac:dyDescent="0.3">
      <c r="A19" s="52" t="s">
        <v>263</v>
      </c>
      <c r="B19" s="35">
        <v>2</v>
      </c>
      <c r="C19" s="54">
        <v>2</v>
      </c>
      <c r="D19" s="57" t="s">
        <v>1734</v>
      </c>
    </row>
    <row r="20" spans="1:4" x14ac:dyDescent="0.3">
      <c r="A20" s="52" t="s">
        <v>36</v>
      </c>
      <c r="B20" s="35">
        <v>16</v>
      </c>
      <c r="C20" s="54">
        <v>14</v>
      </c>
      <c r="D20" s="57" t="s">
        <v>1734</v>
      </c>
    </row>
    <row r="21" spans="1:4" x14ac:dyDescent="0.3">
      <c r="A21" s="52" t="s">
        <v>111</v>
      </c>
      <c r="B21" s="35">
        <v>2</v>
      </c>
      <c r="C21" s="54">
        <v>2</v>
      </c>
      <c r="D21" s="57" t="s">
        <v>1734</v>
      </c>
    </row>
    <row r="22" spans="1:4" x14ac:dyDescent="0.3">
      <c r="A22" s="34" t="s">
        <v>133</v>
      </c>
      <c r="B22" s="35">
        <v>44</v>
      </c>
      <c r="C22" s="55">
        <f>SUM(C23:C29)</f>
        <v>44</v>
      </c>
    </row>
    <row r="23" spans="1:4" x14ac:dyDescent="0.3">
      <c r="A23" s="52" t="s">
        <v>64</v>
      </c>
      <c r="B23" s="35">
        <v>5</v>
      </c>
      <c r="C23" s="54">
        <v>5</v>
      </c>
      <c r="D23" s="57" t="s">
        <v>1734</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1734</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J128"/>
  <sheetViews>
    <sheetView tabSelected="1" zoomScale="70" zoomScaleNormal="70" workbookViewId="0">
      <pane ySplit="1" topLeftCell="A2" activePane="bottomLeft" state="frozen"/>
      <selection pane="bottomLeft" activeCell="E128" sqref="E128"/>
    </sheetView>
  </sheetViews>
  <sheetFormatPr baseColWidth="10" defaultRowHeight="14.4" x14ac:dyDescent="0.3"/>
  <cols>
    <col min="2" max="2" width="11.88671875" hidden="1" customWidth="1"/>
    <col min="4" max="4" width="17.109375" customWidth="1"/>
    <col min="5" max="5" width="24.5546875" customWidth="1"/>
    <col min="7" max="7" width="32" customWidth="1"/>
    <col min="8" max="8" width="59.77734375" customWidth="1"/>
    <col min="9" max="9" width="20" customWidth="1"/>
    <col min="10" max="10" width="18.109375" customWidth="1"/>
    <col min="11" max="11" width="23.44140625" customWidth="1"/>
    <col min="12" max="12" width="8.88671875" customWidth="1"/>
    <col min="13" max="13" width="12.44140625" customWidth="1"/>
    <col min="14" max="14" width="27.88671875" customWidth="1"/>
    <col min="15" max="15" width="10.109375" customWidth="1"/>
    <col min="16" max="16" width="86.88671875" bestFit="1" customWidth="1"/>
    <col min="17" max="17" width="11.33203125" bestFit="1" customWidth="1"/>
    <col min="18" max="18" width="20.6640625" customWidth="1"/>
    <col min="19" max="19" width="22.88671875" customWidth="1"/>
    <col min="20" max="20" width="28.21875" bestFit="1" customWidth="1"/>
    <col min="21" max="21" width="23.44140625" customWidth="1"/>
    <col min="22" max="22" width="25.6640625" customWidth="1"/>
    <col min="23" max="23" width="26.33203125" customWidth="1"/>
    <col min="24" max="24" width="36.33203125" customWidth="1"/>
    <col min="25" max="25" width="26.33203125" customWidth="1"/>
    <col min="26" max="26" width="37.33203125" bestFit="1" customWidth="1"/>
    <col min="27" max="27" width="23" bestFit="1" customWidth="1"/>
    <col min="28" max="28" width="35.5546875" customWidth="1"/>
    <col min="29" max="29" width="29" customWidth="1"/>
    <col min="30" max="30" width="19.88671875" customWidth="1"/>
    <col min="31" max="31" width="20.6640625" customWidth="1"/>
    <col min="32" max="32" width="30.44140625" customWidth="1"/>
    <col min="33" max="33" width="30" customWidth="1"/>
    <col min="34" max="34" width="31.44140625" customWidth="1"/>
    <col min="35" max="35" width="21.6640625" customWidth="1"/>
    <col min="36" max="36" width="12.21875" customWidth="1"/>
  </cols>
  <sheetData>
    <row r="1" spans="1:36" ht="36.6" customHeight="1" x14ac:dyDescent="0.3">
      <c r="A1" s="30" t="s">
        <v>1749</v>
      </c>
      <c r="B1" t="s">
        <v>1748</v>
      </c>
      <c r="C1" s="30" t="s">
        <v>1747</v>
      </c>
      <c r="D1" s="30" t="s">
        <v>0</v>
      </c>
      <c r="E1" s="31" t="s">
        <v>1</v>
      </c>
      <c r="F1" s="30" t="s">
        <v>2</v>
      </c>
      <c r="G1" s="30" t="s">
        <v>3</v>
      </c>
      <c r="H1" s="30" t="s">
        <v>4</v>
      </c>
      <c r="I1" s="30" t="s">
        <v>5</v>
      </c>
      <c r="J1" s="30" t="s">
        <v>6</v>
      </c>
      <c r="K1" s="30" t="s">
        <v>7</v>
      </c>
      <c r="L1" s="30" t="s">
        <v>8</v>
      </c>
      <c r="M1" s="30" t="s">
        <v>9</v>
      </c>
      <c r="N1" s="30" t="s">
        <v>10</v>
      </c>
      <c r="O1" s="30" t="s">
        <v>11</v>
      </c>
      <c r="P1" s="30" t="s">
        <v>12</v>
      </c>
      <c r="Q1" s="30" t="s">
        <v>13</v>
      </c>
      <c r="R1" s="30" t="s">
        <v>14</v>
      </c>
      <c r="S1" s="30" t="s">
        <v>15</v>
      </c>
      <c r="T1" s="30" t="s">
        <v>16</v>
      </c>
      <c r="U1" s="30" t="s">
        <v>17</v>
      </c>
      <c r="V1" s="30" t="s">
        <v>18</v>
      </c>
      <c r="W1" s="30" t="s">
        <v>19</v>
      </c>
      <c r="X1" s="30" t="s">
        <v>20</v>
      </c>
      <c r="Y1" s="30" t="s">
        <v>21</v>
      </c>
      <c r="Z1" s="30" t="s">
        <v>22</v>
      </c>
      <c r="AA1" s="30" t="s">
        <v>23</v>
      </c>
      <c r="AB1" s="30" t="s">
        <v>24</v>
      </c>
      <c r="AC1" s="30" t="s">
        <v>25</v>
      </c>
      <c r="AD1" s="30" t="s">
        <v>26</v>
      </c>
      <c r="AE1" s="30" t="s">
        <v>27</v>
      </c>
      <c r="AF1" s="30" t="s">
        <v>28</v>
      </c>
      <c r="AG1" s="30" t="s">
        <v>29</v>
      </c>
      <c r="AH1" s="32" t="s">
        <v>30</v>
      </c>
      <c r="AI1" s="30" t="s">
        <v>31</v>
      </c>
      <c r="AJ1" s="30" t="s">
        <v>1744</v>
      </c>
    </row>
    <row r="2" spans="1:36" ht="115.2" x14ac:dyDescent="0.3">
      <c r="A2" s="1">
        <f t="shared" ref="A2:A33" si="0">MAX($B$2:$B$128)</f>
        <v>188</v>
      </c>
      <c r="B2" cm="1">
        <f t="array" ref="B2">IFERROR(MAX(--_xlfn.TEXTSPLIT(C2,";")),0)</f>
        <v>0</v>
      </c>
      <c r="C2" s="57"/>
      <c r="D2" s="1" t="s">
        <v>381</v>
      </c>
      <c r="E2" s="1" t="s">
        <v>382</v>
      </c>
      <c r="F2" s="1">
        <v>1</v>
      </c>
      <c r="G2" s="1" t="s">
        <v>383</v>
      </c>
      <c r="H2" s="1" t="s">
        <v>384</v>
      </c>
      <c r="I2" s="1" t="s">
        <v>385</v>
      </c>
      <c r="J2" s="1" t="s">
        <v>112</v>
      </c>
      <c r="K2" s="1" t="s">
        <v>38</v>
      </c>
      <c r="L2" s="1" t="s">
        <v>39</v>
      </c>
      <c r="M2" s="2" t="s">
        <v>40</v>
      </c>
      <c r="N2" s="3">
        <v>800000</v>
      </c>
      <c r="O2" s="3" t="s">
        <v>41</v>
      </c>
      <c r="P2" s="1" t="s">
        <v>386</v>
      </c>
      <c r="Q2" s="1" t="s">
        <v>43</v>
      </c>
      <c r="R2" s="3" t="s">
        <v>123</v>
      </c>
      <c r="S2" s="3" t="s">
        <v>200</v>
      </c>
      <c r="T2" s="2">
        <v>37773</v>
      </c>
      <c r="U2" s="2">
        <v>37986</v>
      </c>
      <c r="V2" s="2">
        <v>38013</v>
      </c>
      <c r="W2" s="2">
        <v>38072</v>
      </c>
      <c r="X2" s="2">
        <v>38120</v>
      </c>
      <c r="Y2" s="3" t="s">
        <v>387</v>
      </c>
      <c r="Z2" s="3" t="s">
        <v>388</v>
      </c>
      <c r="AA2" s="3" t="s">
        <v>389</v>
      </c>
      <c r="AB2" s="2">
        <v>38120</v>
      </c>
      <c r="AC2" s="2">
        <v>39079</v>
      </c>
      <c r="AD2" s="2" t="s">
        <v>49</v>
      </c>
      <c r="AE2" s="2" t="s">
        <v>50</v>
      </c>
      <c r="AF2" s="2">
        <v>39228</v>
      </c>
      <c r="AG2" s="2">
        <v>39470</v>
      </c>
      <c r="AH2" s="5">
        <v>294554.44999999995</v>
      </c>
      <c r="AI2" s="6">
        <v>0</v>
      </c>
      <c r="AJ2" s="71" t="str">
        <f>MID(D2,5,LEN(D2)-4)</f>
        <v>EIMQ1</v>
      </c>
    </row>
    <row r="3" spans="1:36" ht="118.95" customHeight="1" x14ac:dyDescent="0.3">
      <c r="A3" s="1">
        <f t="shared" si="0"/>
        <v>188</v>
      </c>
      <c r="B3" cm="1">
        <f t="array" ref="B3">IFERROR(MAX(--_xlfn.TEXTSPLIT(C3,";")),0)</f>
        <v>188</v>
      </c>
      <c r="C3" s="57">
        <v>188</v>
      </c>
      <c r="D3" s="1" t="s">
        <v>365</v>
      </c>
      <c r="E3" s="1" t="s">
        <v>366</v>
      </c>
      <c r="F3" s="1">
        <v>1</v>
      </c>
      <c r="G3" s="1" t="s">
        <v>367</v>
      </c>
      <c r="H3" s="1">
        <v>0</v>
      </c>
      <c r="I3" s="1" t="s">
        <v>36</v>
      </c>
      <c r="J3" s="1" t="s">
        <v>75</v>
      </c>
      <c r="K3" s="1" t="s">
        <v>38</v>
      </c>
      <c r="L3" s="1" t="s">
        <v>39</v>
      </c>
      <c r="M3" s="2" t="s">
        <v>40</v>
      </c>
      <c r="N3" s="3">
        <v>14150000</v>
      </c>
      <c r="O3" s="3" t="s">
        <v>41</v>
      </c>
      <c r="P3" s="1" t="s">
        <v>264</v>
      </c>
      <c r="Q3" s="1" t="s">
        <v>43</v>
      </c>
      <c r="R3" s="3" t="s">
        <v>123</v>
      </c>
      <c r="S3" s="3" t="s">
        <v>368</v>
      </c>
      <c r="T3" s="2">
        <v>37291</v>
      </c>
      <c r="U3" s="2">
        <v>38343</v>
      </c>
      <c r="V3" s="2">
        <v>38366</v>
      </c>
      <c r="W3" s="2">
        <v>38469</v>
      </c>
      <c r="X3" s="2">
        <v>38548</v>
      </c>
      <c r="Y3" s="3" t="s">
        <v>369</v>
      </c>
      <c r="Z3" s="3" t="s">
        <v>370</v>
      </c>
      <c r="AA3" s="3" t="s">
        <v>371</v>
      </c>
      <c r="AB3" s="2">
        <v>38548</v>
      </c>
      <c r="AC3" s="2">
        <v>39106</v>
      </c>
      <c r="AD3" s="2" t="s">
        <v>49</v>
      </c>
      <c r="AE3" s="2" t="s">
        <v>269</v>
      </c>
      <c r="AF3" s="2" t="s">
        <v>269</v>
      </c>
      <c r="AG3" s="2" t="s">
        <v>269</v>
      </c>
      <c r="AH3" s="5">
        <v>344061.75</v>
      </c>
      <c r="AI3" s="6">
        <v>0</v>
      </c>
      <c r="AJ3" s="71" t="str">
        <f>MID(D3,5,LEN(D3)-4)</f>
        <v>PBCH1</v>
      </c>
    </row>
    <row r="4" spans="1:36" ht="130.19999999999999" customHeight="1" x14ac:dyDescent="0.3">
      <c r="A4" s="1">
        <f t="shared" si="0"/>
        <v>188</v>
      </c>
      <c r="B4" cm="1">
        <f t="array" ref="B4">IFERROR(MAX(--_xlfn.TEXTSPLIT(C4,";")),0)</f>
        <v>187</v>
      </c>
      <c r="C4" t="s">
        <v>1753</v>
      </c>
      <c r="D4" s="58" t="s">
        <v>1751</v>
      </c>
      <c r="E4" s="62" t="s">
        <v>1735</v>
      </c>
      <c r="F4" s="59">
        <v>1</v>
      </c>
      <c r="G4" s="74" t="s">
        <v>1750</v>
      </c>
      <c r="H4" s="59"/>
      <c r="I4" s="59" t="s">
        <v>263</v>
      </c>
      <c r="J4" s="59" t="s">
        <v>175</v>
      </c>
      <c r="K4" s="59"/>
      <c r="L4" s="59"/>
      <c r="M4" s="60"/>
      <c r="N4" s="61"/>
      <c r="O4" s="59"/>
      <c r="P4" s="59"/>
      <c r="Q4" s="59" t="s">
        <v>693</v>
      </c>
      <c r="R4" s="59"/>
      <c r="S4" s="59"/>
      <c r="T4" s="60">
        <v>45657</v>
      </c>
      <c r="U4" s="60">
        <v>45944</v>
      </c>
      <c r="V4" s="60"/>
      <c r="W4" s="60"/>
      <c r="X4" s="60"/>
      <c r="Y4" s="59"/>
      <c r="Z4" s="59"/>
      <c r="AA4" s="59"/>
      <c r="AB4" s="60"/>
      <c r="AC4" s="60"/>
      <c r="AD4" s="59"/>
      <c r="AE4" s="59"/>
      <c r="AF4" s="59"/>
      <c r="AG4" s="59"/>
      <c r="AH4" s="22"/>
      <c r="AI4" s="23"/>
      <c r="AJ4" s="71" t="str">
        <f>MID(D4,5,LEN(D4)-4)</f>
        <v>PDRC1</v>
      </c>
    </row>
    <row r="5" spans="1:36" ht="118.95" customHeight="1" x14ac:dyDescent="0.3">
      <c r="A5" s="1">
        <f t="shared" si="0"/>
        <v>188</v>
      </c>
      <c r="B5" cm="1">
        <f t="array" ref="B5">IFERROR(MAX(--_xlfn.TEXTSPLIT(C5,";")),0)</f>
        <v>1</v>
      </c>
      <c r="C5" t="s">
        <v>1752</v>
      </c>
      <c r="D5" s="1" t="s">
        <v>479</v>
      </c>
      <c r="E5" s="1" t="s">
        <v>480</v>
      </c>
      <c r="F5" s="1">
        <v>1</v>
      </c>
      <c r="G5" s="1" t="s">
        <v>481</v>
      </c>
      <c r="H5" s="1" t="s">
        <v>482</v>
      </c>
      <c r="I5" s="1" t="s">
        <v>36</v>
      </c>
      <c r="J5" s="1" t="s">
        <v>55</v>
      </c>
      <c r="K5" s="1" t="s">
        <v>38</v>
      </c>
      <c r="L5" s="1" t="s">
        <v>39</v>
      </c>
      <c r="M5" s="2" t="s">
        <v>40</v>
      </c>
      <c r="N5" s="3">
        <v>7700000</v>
      </c>
      <c r="O5" s="3" t="s">
        <v>41</v>
      </c>
      <c r="P5" s="1" t="s">
        <v>483</v>
      </c>
      <c r="Q5" s="1" t="s">
        <v>133</v>
      </c>
      <c r="R5" s="3" t="s">
        <v>44</v>
      </c>
      <c r="S5" s="3" t="s">
        <v>484</v>
      </c>
      <c r="T5" s="2">
        <v>39087</v>
      </c>
      <c r="U5" s="2">
        <v>39511</v>
      </c>
      <c r="V5" s="2">
        <v>39542</v>
      </c>
      <c r="W5" s="2">
        <v>39626</v>
      </c>
      <c r="X5" s="2">
        <v>39704</v>
      </c>
      <c r="Y5" s="3" t="s">
        <v>485</v>
      </c>
      <c r="Z5" s="3" t="s">
        <v>486</v>
      </c>
      <c r="AA5" s="3" t="s">
        <v>487</v>
      </c>
      <c r="AB5" s="2">
        <v>39704</v>
      </c>
      <c r="AC5" s="2">
        <v>54313</v>
      </c>
      <c r="AD5" s="2" t="s">
        <v>106</v>
      </c>
      <c r="AE5" s="2">
        <v>40552</v>
      </c>
      <c r="AF5" s="2">
        <v>42642</v>
      </c>
      <c r="AG5" s="2">
        <v>42886</v>
      </c>
      <c r="AH5" s="8">
        <v>8391266.1999999993</v>
      </c>
      <c r="AI5" s="6">
        <v>1</v>
      </c>
      <c r="AJ5" s="71" t="str">
        <f>MID(D5,5,LEN(D5)-4)</f>
        <v>160R1</v>
      </c>
    </row>
    <row r="6" spans="1:36" ht="118.95" customHeight="1" x14ac:dyDescent="0.3">
      <c r="A6" s="1">
        <f t="shared" si="0"/>
        <v>188</v>
      </c>
      <c r="B6" cm="1">
        <f t="array" ref="B6">IFERROR(MAX(--_xlfn.TEXTSPLIT(C6,";")),0)</f>
        <v>2</v>
      </c>
      <c r="C6" t="s">
        <v>1754</v>
      </c>
      <c r="D6" s="1" t="s">
        <v>674</v>
      </c>
      <c r="E6" s="1" t="s">
        <v>1850</v>
      </c>
      <c r="F6" s="1">
        <v>1</v>
      </c>
      <c r="G6" s="1" t="s">
        <v>675</v>
      </c>
      <c r="H6" s="1" t="s">
        <v>676</v>
      </c>
      <c r="I6" s="1" t="s">
        <v>111</v>
      </c>
      <c r="J6" s="1" t="s">
        <v>112</v>
      </c>
      <c r="K6" s="1" t="s">
        <v>38</v>
      </c>
      <c r="L6" s="1" t="s">
        <v>39</v>
      </c>
      <c r="M6" s="2" t="s">
        <v>40</v>
      </c>
      <c r="N6" s="3">
        <v>21900000</v>
      </c>
      <c r="O6" s="3" t="s">
        <v>41</v>
      </c>
      <c r="P6" s="1" t="s">
        <v>677</v>
      </c>
      <c r="Q6" s="1" t="s">
        <v>133</v>
      </c>
      <c r="R6" s="3" t="s">
        <v>123</v>
      </c>
      <c r="S6" s="3" t="s">
        <v>484</v>
      </c>
      <c r="T6" s="2">
        <v>41485</v>
      </c>
      <c r="U6" s="2">
        <v>41655</v>
      </c>
      <c r="V6" s="2">
        <v>41667</v>
      </c>
      <c r="W6" s="2">
        <v>41670</v>
      </c>
      <c r="X6" s="2">
        <v>41711</v>
      </c>
      <c r="Y6" s="3" t="s">
        <v>678</v>
      </c>
      <c r="Z6" s="3" t="s">
        <v>679</v>
      </c>
      <c r="AA6" s="3" t="s">
        <v>680</v>
      </c>
      <c r="AB6" s="2">
        <v>41711</v>
      </c>
      <c r="AC6" s="2">
        <v>58146</v>
      </c>
      <c r="AD6" s="2" t="s">
        <v>106</v>
      </c>
      <c r="AE6" s="2">
        <v>43049</v>
      </c>
      <c r="AF6" s="2">
        <v>44770</v>
      </c>
      <c r="AG6" s="2">
        <v>45075</v>
      </c>
      <c r="AH6" s="8">
        <v>28379077.100000001</v>
      </c>
      <c r="AI6" s="6">
        <v>1</v>
      </c>
      <c r="AJ6" s="71" t="str">
        <f>MID(D6,5,LEN(D6)-4)</f>
        <v>1AVO1</v>
      </c>
    </row>
    <row r="7" spans="1:36" ht="118.95" customHeight="1" x14ac:dyDescent="0.3">
      <c r="A7" s="1">
        <f t="shared" si="0"/>
        <v>188</v>
      </c>
      <c r="B7" cm="1">
        <f t="array" ref="B7">IFERROR(MAX(--_xlfn.TEXTSPLIT(C7,";")),0)</f>
        <v>3</v>
      </c>
      <c r="C7" t="s">
        <v>1755</v>
      </c>
      <c r="D7" s="1" t="s">
        <v>816</v>
      </c>
      <c r="E7" s="1" t="s">
        <v>1851</v>
      </c>
      <c r="F7" s="1">
        <v>1</v>
      </c>
      <c r="G7" s="1" t="s">
        <v>817</v>
      </c>
      <c r="H7" s="1" t="s">
        <v>818</v>
      </c>
      <c r="I7" s="1" t="s">
        <v>111</v>
      </c>
      <c r="J7" s="1" t="s">
        <v>112</v>
      </c>
      <c r="K7" s="1" t="s">
        <v>38</v>
      </c>
      <c r="L7" s="1" t="s">
        <v>66</v>
      </c>
      <c r="M7" s="2">
        <v>38385</v>
      </c>
      <c r="N7" s="3">
        <v>2308000</v>
      </c>
      <c r="O7" s="3" t="s">
        <v>41</v>
      </c>
      <c r="P7" s="4" t="s">
        <v>819</v>
      </c>
      <c r="Q7" s="1" t="s">
        <v>43</v>
      </c>
      <c r="R7" s="3" t="s">
        <v>44</v>
      </c>
      <c r="S7" s="3" t="s">
        <v>820</v>
      </c>
      <c r="T7" s="2">
        <v>43195</v>
      </c>
      <c r="U7" s="2">
        <v>43398</v>
      </c>
      <c r="V7" s="2">
        <v>43420</v>
      </c>
      <c r="W7" s="2">
        <v>43487</v>
      </c>
      <c r="X7" s="2">
        <v>43557</v>
      </c>
      <c r="Y7" s="3" t="s">
        <v>821</v>
      </c>
      <c r="Z7" s="3" t="s">
        <v>822</v>
      </c>
      <c r="AA7" s="3" t="s">
        <v>823</v>
      </c>
      <c r="AB7" s="2">
        <v>43557</v>
      </c>
      <c r="AC7" s="2">
        <v>45145</v>
      </c>
      <c r="AD7" s="2" t="s">
        <v>106</v>
      </c>
      <c r="AE7" s="2" t="s">
        <v>269</v>
      </c>
      <c r="AF7" s="2" t="s">
        <v>269</v>
      </c>
      <c r="AG7" s="2" t="s">
        <v>269</v>
      </c>
      <c r="AH7" s="5">
        <v>825000</v>
      </c>
      <c r="AI7" s="6">
        <v>0</v>
      </c>
      <c r="AJ7" s="71" t="str">
        <f>MID(D7,5,LEN(D7)-4)</f>
        <v>21RG1</v>
      </c>
    </row>
    <row r="8" spans="1:36" ht="118.95" customHeight="1" x14ac:dyDescent="0.3">
      <c r="A8" s="1">
        <f t="shared" si="0"/>
        <v>188</v>
      </c>
      <c r="B8" cm="1">
        <f t="array" ref="B8">IFERROR(MAX(--_xlfn.TEXTSPLIT(C8,";")),0)</f>
        <v>4</v>
      </c>
      <c r="C8" t="s">
        <v>1756</v>
      </c>
      <c r="D8" s="1" t="s">
        <v>753</v>
      </c>
      <c r="E8" s="1" t="s">
        <v>1852</v>
      </c>
      <c r="F8" s="1">
        <v>1</v>
      </c>
      <c r="G8" s="1" t="s">
        <v>754</v>
      </c>
      <c r="H8" s="1" t="s">
        <v>755</v>
      </c>
      <c r="I8" s="1" t="s">
        <v>111</v>
      </c>
      <c r="J8" s="1" t="s">
        <v>112</v>
      </c>
      <c r="K8" s="1" t="s">
        <v>38</v>
      </c>
      <c r="L8" s="1" t="s">
        <v>39</v>
      </c>
      <c r="M8" s="2" t="s">
        <v>40</v>
      </c>
      <c r="N8" s="3">
        <v>19670000</v>
      </c>
      <c r="O8" s="3" t="s">
        <v>41</v>
      </c>
      <c r="P8" s="1" t="s">
        <v>756</v>
      </c>
      <c r="Q8" s="1" t="s">
        <v>693</v>
      </c>
      <c r="R8" s="3" t="s">
        <v>123</v>
      </c>
      <c r="S8" s="3" t="s">
        <v>484</v>
      </c>
      <c r="T8" s="2">
        <v>42594</v>
      </c>
      <c r="U8" s="2">
        <v>42885</v>
      </c>
      <c r="V8" s="2">
        <v>43309</v>
      </c>
      <c r="W8" s="2">
        <v>43054</v>
      </c>
      <c r="X8" s="2">
        <v>43195</v>
      </c>
      <c r="Y8" s="3" t="s">
        <v>757</v>
      </c>
      <c r="Z8" s="3" t="s">
        <v>758</v>
      </c>
      <c r="AA8" s="3" t="s">
        <v>759</v>
      </c>
      <c r="AB8" s="2">
        <v>43195</v>
      </c>
      <c r="AC8" s="2">
        <v>59630</v>
      </c>
      <c r="AD8" s="2" t="s">
        <v>106</v>
      </c>
      <c r="AE8" s="2">
        <v>45288</v>
      </c>
      <c r="AF8" s="2" t="s">
        <v>697</v>
      </c>
      <c r="AG8" s="2" t="s">
        <v>697</v>
      </c>
      <c r="AH8" s="5">
        <v>19670000</v>
      </c>
      <c r="AI8" s="13">
        <v>0.2641</v>
      </c>
      <c r="AJ8" s="71" t="str">
        <f>MID(D8,5,LEN(D8)-4)</f>
        <v>2AVO1</v>
      </c>
    </row>
    <row r="9" spans="1:36" ht="118.95" customHeight="1" x14ac:dyDescent="0.3">
      <c r="A9" s="1">
        <f t="shared" si="0"/>
        <v>188</v>
      </c>
      <c r="B9" cm="1">
        <f t="array" ref="B9">IFERROR(MAX(--_xlfn.TEXTSPLIT(C9,";")),0)</f>
        <v>6</v>
      </c>
      <c r="C9" t="s">
        <v>1757</v>
      </c>
      <c r="D9" s="1" t="s">
        <v>615</v>
      </c>
      <c r="E9" s="1" t="s">
        <v>1853</v>
      </c>
      <c r="F9" s="1">
        <v>1</v>
      </c>
      <c r="G9" s="1" t="s">
        <v>616</v>
      </c>
      <c r="H9" s="1" t="s">
        <v>617</v>
      </c>
      <c r="I9" s="1" t="s">
        <v>36</v>
      </c>
      <c r="J9" s="1" t="s">
        <v>175</v>
      </c>
      <c r="K9" s="1" t="s">
        <v>38</v>
      </c>
      <c r="L9" s="1" t="s">
        <v>39</v>
      </c>
      <c r="M9" s="2" t="s">
        <v>40</v>
      </c>
      <c r="N9" s="3">
        <v>5100000</v>
      </c>
      <c r="O9" s="3" t="s">
        <v>41</v>
      </c>
      <c r="P9" s="1" t="s">
        <v>618</v>
      </c>
      <c r="Q9" s="1" t="s">
        <v>133</v>
      </c>
      <c r="R9" s="3" t="s">
        <v>123</v>
      </c>
      <c r="S9" s="3" t="s">
        <v>484</v>
      </c>
      <c r="T9" s="2">
        <v>40858</v>
      </c>
      <c r="U9" s="2">
        <v>41201</v>
      </c>
      <c r="V9" s="2">
        <v>41208</v>
      </c>
      <c r="W9" s="2">
        <v>41339</v>
      </c>
      <c r="X9" s="2">
        <v>41425</v>
      </c>
      <c r="Y9" s="3" t="s">
        <v>619</v>
      </c>
      <c r="Z9" s="3" t="s">
        <v>620</v>
      </c>
      <c r="AA9" s="3" t="s">
        <v>621</v>
      </c>
      <c r="AB9" s="2">
        <v>41425</v>
      </c>
      <c r="AC9" s="2">
        <v>59687</v>
      </c>
      <c r="AD9" s="2" t="s">
        <v>106</v>
      </c>
      <c r="AE9" s="2">
        <v>41844</v>
      </c>
      <c r="AF9" s="2">
        <v>43289</v>
      </c>
      <c r="AG9" s="2">
        <v>43469</v>
      </c>
      <c r="AH9" s="8">
        <v>5612046.0600000005</v>
      </c>
      <c r="AI9" s="6">
        <v>1</v>
      </c>
      <c r="AJ9" s="71" t="str">
        <f>MID(D9,5,LEN(D9)-4)</f>
        <v>43RU1</v>
      </c>
    </row>
    <row r="10" spans="1:36" ht="118.95" customHeight="1" x14ac:dyDescent="0.3">
      <c r="A10" s="1">
        <f t="shared" si="0"/>
        <v>188</v>
      </c>
      <c r="B10" cm="1">
        <f t="array" ref="B10">IFERROR(MAX(--_xlfn.TEXTSPLIT(C10,";")),0)</f>
        <v>7</v>
      </c>
      <c r="C10" t="s">
        <v>1758</v>
      </c>
      <c r="D10" s="1" t="s">
        <v>502</v>
      </c>
      <c r="E10" s="1" t="s">
        <v>503</v>
      </c>
      <c r="F10" s="1">
        <v>1</v>
      </c>
      <c r="G10" s="1" t="s">
        <v>504</v>
      </c>
      <c r="H10" s="1">
        <v>0</v>
      </c>
      <c r="I10" s="1" t="s">
        <v>36</v>
      </c>
      <c r="J10" s="1" t="s">
        <v>112</v>
      </c>
      <c r="K10" s="1" t="s">
        <v>38</v>
      </c>
      <c r="L10" s="1" t="s">
        <v>66</v>
      </c>
      <c r="M10" s="2">
        <v>38006</v>
      </c>
      <c r="N10" s="3">
        <v>880000</v>
      </c>
      <c r="O10" s="3" t="s">
        <v>41</v>
      </c>
      <c r="P10" s="1" t="s">
        <v>264</v>
      </c>
      <c r="Q10" s="1" t="s">
        <v>43</v>
      </c>
      <c r="R10" s="3" t="s">
        <v>44</v>
      </c>
      <c r="S10" s="3" t="s">
        <v>484</v>
      </c>
      <c r="T10" s="2">
        <v>39445</v>
      </c>
      <c r="U10" s="2">
        <v>39660</v>
      </c>
      <c r="V10" s="2">
        <v>39688</v>
      </c>
      <c r="W10" s="2">
        <v>39780</v>
      </c>
      <c r="X10" s="2">
        <v>39842</v>
      </c>
      <c r="Y10" s="3" t="s">
        <v>505</v>
      </c>
      <c r="Z10" s="3" t="s">
        <v>506</v>
      </c>
      <c r="AA10" s="3" t="s">
        <v>507</v>
      </c>
      <c r="AB10" s="2">
        <v>39842</v>
      </c>
      <c r="AC10" s="2">
        <v>41773</v>
      </c>
      <c r="AD10" s="2" t="s">
        <v>106</v>
      </c>
      <c r="AE10" s="2" t="s">
        <v>269</v>
      </c>
      <c r="AF10" s="2" t="s">
        <v>269</v>
      </c>
      <c r="AG10" s="2" t="s">
        <v>269</v>
      </c>
      <c r="AH10" s="5">
        <v>308326.59999999998</v>
      </c>
      <c r="AI10" s="6">
        <v>0</v>
      </c>
      <c r="AJ10" s="71" t="str">
        <f>MID(D10,5,LEN(D10)-4)</f>
        <v>60GR1</v>
      </c>
    </row>
    <row r="11" spans="1:36" ht="172.8" x14ac:dyDescent="0.3">
      <c r="A11" s="1">
        <f t="shared" si="0"/>
        <v>188</v>
      </c>
      <c r="B11" cm="1">
        <f t="array" ref="B11">IFERROR(MAX(--_xlfn.TEXTSPLIT(C11,";")),0)</f>
        <v>9</v>
      </c>
      <c r="C11" t="s">
        <v>1759</v>
      </c>
      <c r="D11" s="1" t="s">
        <v>333</v>
      </c>
      <c r="E11" s="1" t="s">
        <v>334</v>
      </c>
      <c r="F11" s="1">
        <v>1</v>
      </c>
      <c r="G11" s="1" t="s">
        <v>335</v>
      </c>
      <c r="H11" s="1" t="s">
        <v>336</v>
      </c>
      <c r="I11" s="1" t="s">
        <v>36</v>
      </c>
      <c r="J11" s="1" t="s">
        <v>37</v>
      </c>
      <c r="K11" s="1" t="s">
        <v>38</v>
      </c>
      <c r="L11" s="1" t="s">
        <v>39</v>
      </c>
      <c r="M11" s="2" t="s">
        <v>40</v>
      </c>
      <c r="N11" s="3">
        <v>6680000</v>
      </c>
      <c r="O11" s="3" t="s">
        <v>41</v>
      </c>
      <c r="P11" s="1" t="s">
        <v>337</v>
      </c>
      <c r="Q11" s="1" t="s">
        <v>133</v>
      </c>
      <c r="R11" s="3" t="s">
        <v>123</v>
      </c>
      <c r="S11" s="3" t="s">
        <v>248</v>
      </c>
      <c r="T11" s="2">
        <v>37141</v>
      </c>
      <c r="U11" s="2">
        <v>37286</v>
      </c>
      <c r="V11" s="2">
        <v>37327</v>
      </c>
      <c r="W11" s="2">
        <v>37551</v>
      </c>
      <c r="X11" s="2">
        <v>37648</v>
      </c>
      <c r="Y11" s="3" t="s">
        <v>338</v>
      </c>
      <c r="Z11" s="3" t="s">
        <v>339</v>
      </c>
      <c r="AA11" s="3" t="s">
        <v>340</v>
      </c>
      <c r="AB11" s="2">
        <v>37648</v>
      </c>
      <c r="AC11" s="2">
        <v>49877</v>
      </c>
      <c r="AD11" s="2" t="s">
        <v>49</v>
      </c>
      <c r="AE11" s="2">
        <v>38379</v>
      </c>
      <c r="AF11" s="2">
        <v>43489</v>
      </c>
      <c r="AG11" s="2">
        <v>43685</v>
      </c>
      <c r="AH11" s="8">
        <v>12335209.380517498</v>
      </c>
      <c r="AI11" s="6">
        <v>1</v>
      </c>
      <c r="AJ11" s="71" t="str">
        <f>MID(D11,5,LEN(D11)-4)</f>
        <v>60RU1</v>
      </c>
    </row>
    <row r="12" spans="1:36" ht="118.95" customHeight="1" x14ac:dyDescent="0.3">
      <c r="A12" s="1">
        <f t="shared" si="0"/>
        <v>188</v>
      </c>
      <c r="B12" cm="1">
        <f t="array" ref="B12">IFERROR(MAX(--_xlfn.TEXTSPLIT(C12,";")),0)</f>
        <v>10</v>
      </c>
      <c r="C12" t="s">
        <v>1760</v>
      </c>
      <c r="D12" s="1" t="s">
        <v>540</v>
      </c>
      <c r="E12" s="1" t="s">
        <v>541</v>
      </c>
      <c r="F12" s="1">
        <v>1</v>
      </c>
      <c r="G12" s="1" t="s">
        <v>542</v>
      </c>
      <c r="H12" s="1">
        <v>0</v>
      </c>
      <c r="I12" s="1" t="s">
        <v>36</v>
      </c>
      <c r="J12" s="1" t="s">
        <v>543</v>
      </c>
      <c r="K12" s="1" t="s">
        <v>38</v>
      </c>
      <c r="L12" s="1" t="s">
        <v>39</v>
      </c>
      <c r="M12" s="2" t="s">
        <v>40</v>
      </c>
      <c r="N12" s="3">
        <v>8653000</v>
      </c>
      <c r="O12" s="3" t="s">
        <v>41</v>
      </c>
      <c r="P12" s="1" t="s">
        <v>264</v>
      </c>
      <c r="Q12" s="1" t="s">
        <v>43</v>
      </c>
      <c r="R12" s="3" t="s">
        <v>44</v>
      </c>
      <c r="S12" s="3" t="s">
        <v>484</v>
      </c>
      <c r="T12" s="2">
        <v>39781</v>
      </c>
      <c r="U12" s="2">
        <v>40169</v>
      </c>
      <c r="V12" s="2">
        <v>40197</v>
      </c>
      <c r="W12" s="2">
        <v>40219</v>
      </c>
      <c r="X12" s="2">
        <v>40285</v>
      </c>
      <c r="Y12" s="3" t="s">
        <v>544</v>
      </c>
      <c r="Z12" s="3" t="s">
        <v>545</v>
      </c>
      <c r="AA12" s="3" t="s">
        <v>546</v>
      </c>
      <c r="AB12" s="2">
        <v>40285</v>
      </c>
      <c r="AC12" s="2">
        <v>41668</v>
      </c>
      <c r="AD12" s="2" t="s">
        <v>106</v>
      </c>
      <c r="AE12" s="2" t="s">
        <v>269</v>
      </c>
      <c r="AF12" s="2" t="s">
        <v>269</v>
      </c>
      <c r="AG12" s="2" t="s">
        <v>269</v>
      </c>
      <c r="AH12" s="5">
        <v>1639583.19</v>
      </c>
      <c r="AI12" s="6">
        <v>0</v>
      </c>
      <c r="AJ12" s="71" t="str">
        <f>MID(D12,5,LEN(D12)-4)</f>
        <v>66RF1</v>
      </c>
    </row>
    <row r="13" spans="1:36" ht="409.6" x14ac:dyDescent="0.3">
      <c r="A13" s="1">
        <f t="shared" si="0"/>
        <v>188</v>
      </c>
      <c r="B13" cm="1">
        <f t="array" ref="B13">IFERROR(MAX(--_xlfn.TEXTSPLIT(C13,";")),0)</f>
        <v>10</v>
      </c>
      <c r="C13" t="s">
        <v>1760</v>
      </c>
      <c r="D13" s="1" t="s">
        <v>800</v>
      </c>
      <c r="E13" s="1" t="s">
        <v>541</v>
      </c>
      <c r="F13" s="1">
        <v>2</v>
      </c>
      <c r="G13" s="1" t="s">
        <v>801</v>
      </c>
      <c r="H13" s="1" t="s">
        <v>802</v>
      </c>
      <c r="I13" s="1" t="s">
        <v>36</v>
      </c>
      <c r="J13" s="1" t="s">
        <v>543</v>
      </c>
      <c r="K13" s="1" t="s">
        <v>38</v>
      </c>
      <c r="L13" s="1" t="s">
        <v>39</v>
      </c>
      <c r="M13" s="2" t="s">
        <v>40</v>
      </c>
      <c r="N13" s="3">
        <v>13425000</v>
      </c>
      <c r="O13" s="3" t="s">
        <v>41</v>
      </c>
      <c r="P13" s="1" t="s">
        <v>803</v>
      </c>
      <c r="Q13" s="1" t="s">
        <v>662</v>
      </c>
      <c r="R13" s="3" t="s">
        <v>44</v>
      </c>
      <c r="S13" s="3" t="s">
        <v>484</v>
      </c>
      <c r="T13" s="2">
        <v>43020</v>
      </c>
      <c r="U13" s="2">
        <v>43616</v>
      </c>
      <c r="V13" s="2">
        <v>43642</v>
      </c>
      <c r="W13" s="2">
        <v>43697</v>
      </c>
      <c r="X13" s="2">
        <v>43778</v>
      </c>
      <c r="Y13" s="3" t="s">
        <v>804</v>
      </c>
      <c r="Z13" s="3" t="s">
        <v>805</v>
      </c>
      <c r="AA13" s="3" t="s">
        <v>806</v>
      </c>
      <c r="AB13" s="2">
        <v>43778</v>
      </c>
      <c r="AC13" s="2">
        <v>60214</v>
      </c>
      <c r="AD13" s="2" t="s">
        <v>106</v>
      </c>
      <c r="AE13" s="2">
        <v>44439</v>
      </c>
      <c r="AF13" s="2" t="s">
        <v>697</v>
      </c>
      <c r="AG13" s="2" t="s">
        <v>697</v>
      </c>
      <c r="AH13" s="5">
        <v>13425000</v>
      </c>
      <c r="AI13" s="6" t="s">
        <v>807</v>
      </c>
      <c r="AJ13" s="71" t="str">
        <f>MID(D13,5,LEN(D13)-4)</f>
        <v>66RF2</v>
      </c>
    </row>
    <row r="14" spans="1:36" ht="118.95" customHeight="1" x14ac:dyDescent="0.3">
      <c r="A14" s="1">
        <f t="shared" si="0"/>
        <v>188</v>
      </c>
      <c r="B14" cm="1">
        <f t="array" ref="B14">IFERROR(MAX(--_xlfn.TEXTSPLIT(C14,";")),0)</f>
        <v>11</v>
      </c>
      <c r="C14" t="s">
        <v>1761</v>
      </c>
      <c r="D14" s="1" t="s">
        <v>792</v>
      </c>
      <c r="E14" s="1" t="s">
        <v>793</v>
      </c>
      <c r="F14" s="1">
        <v>1</v>
      </c>
      <c r="G14" s="1" t="s">
        <v>794</v>
      </c>
      <c r="H14" s="1" t="s">
        <v>795</v>
      </c>
      <c r="I14" s="1" t="s">
        <v>111</v>
      </c>
      <c r="J14" s="1" t="s">
        <v>112</v>
      </c>
      <c r="K14" s="1" t="s">
        <v>38</v>
      </c>
      <c r="L14" s="1" t="s">
        <v>66</v>
      </c>
      <c r="M14" s="2">
        <v>39826</v>
      </c>
      <c r="N14" s="3">
        <v>6100000</v>
      </c>
      <c r="O14" s="3" t="s">
        <v>41</v>
      </c>
      <c r="P14" s="1" t="s">
        <v>796</v>
      </c>
      <c r="Q14" s="1" t="s">
        <v>693</v>
      </c>
      <c r="R14" s="3" t="s">
        <v>44</v>
      </c>
      <c r="S14" s="3" t="s">
        <v>152</v>
      </c>
      <c r="T14" s="2">
        <v>42990</v>
      </c>
      <c r="U14" s="2">
        <v>43111</v>
      </c>
      <c r="V14" s="2">
        <v>43132</v>
      </c>
      <c r="W14" s="2">
        <v>43164</v>
      </c>
      <c r="X14" s="2">
        <v>43211</v>
      </c>
      <c r="Y14" s="3" t="s">
        <v>797</v>
      </c>
      <c r="Z14" s="3" t="s">
        <v>798</v>
      </c>
      <c r="AA14" s="3" t="s">
        <v>799</v>
      </c>
      <c r="AB14" s="2">
        <v>43211</v>
      </c>
      <c r="AC14" s="2">
        <v>59646</v>
      </c>
      <c r="AD14" s="2" t="s">
        <v>106</v>
      </c>
      <c r="AE14" s="2">
        <v>45972</v>
      </c>
      <c r="AF14" s="2" t="s">
        <v>697</v>
      </c>
      <c r="AG14" s="2" t="s">
        <v>697</v>
      </c>
      <c r="AH14" s="5">
        <v>6100000</v>
      </c>
      <c r="AI14" s="13">
        <v>2.8500000000000001E-2</v>
      </c>
      <c r="AJ14" s="71" t="str">
        <f>MID(D14,5,LEN(D14)-4)</f>
        <v>67CV1</v>
      </c>
    </row>
    <row r="15" spans="1:36" ht="118.95" customHeight="1" x14ac:dyDescent="0.3">
      <c r="A15" s="1">
        <f t="shared" si="0"/>
        <v>188</v>
      </c>
      <c r="B15" cm="1">
        <f t="array" ref="B15">IFERROR(MAX(--_xlfn.TEXTSPLIT(C15,";")),0)</f>
        <v>13</v>
      </c>
      <c r="C15" t="s">
        <v>1762</v>
      </c>
      <c r="D15" s="1" t="s">
        <v>592</v>
      </c>
      <c r="E15" s="1" t="s">
        <v>593</v>
      </c>
      <c r="F15" s="1">
        <v>1</v>
      </c>
      <c r="G15" s="1" t="s">
        <v>594</v>
      </c>
      <c r="H15" s="1" t="s">
        <v>595</v>
      </c>
      <c r="I15" s="1" t="s">
        <v>36</v>
      </c>
      <c r="J15" s="1" t="s">
        <v>65</v>
      </c>
      <c r="K15" s="1" t="s">
        <v>38</v>
      </c>
      <c r="L15" s="1" t="s">
        <v>66</v>
      </c>
      <c r="M15" s="2" t="s">
        <v>40</v>
      </c>
      <c r="N15" s="3">
        <v>5040000</v>
      </c>
      <c r="O15" s="3" t="s">
        <v>41</v>
      </c>
      <c r="P15" s="1" t="s">
        <v>596</v>
      </c>
      <c r="Q15" s="1" t="s">
        <v>133</v>
      </c>
      <c r="R15" s="3" t="s">
        <v>44</v>
      </c>
      <c r="S15" s="3" t="s">
        <v>512</v>
      </c>
      <c r="T15" s="2">
        <v>40186</v>
      </c>
      <c r="U15" s="2">
        <v>40541</v>
      </c>
      <c r="V15" s="2">
        <v>40562</v>
      </c>
      <c r="W15" s="2">
        <v>40700</v>
      </c>
      <c r="X15" s="2">
        <v>40789</v>
      </c>
      <c r="Y15" s="3" t="s">
        <v>597</v>
      </c>
      <c r="Z15" s="3" t="s">
        <v>598</v>
      </c>
      <c r="AA15" s="3" t="s">
        <v>599</v>
      </c>
      <c r="AB15" s="2">
        <v>40789</v>
      </c>
      <c r="AC15" s="2">
        <v>52475</v>
      </c>
      <c r="AD15" s="2" t="s">
        <v>106</v>
      </c>
      <c r="AE15" s="2" t="s">
        <v>50</v>
      </c>
      <c r="AF15" s="2">
        <v>41946</v>
      </c>
      <c r="AG15" s="2">
        <v>42731</v>
      </c>
      <c r="AH15" s="8">
        <v>4411657.9000000004</v>
      </c>
      <c r="AI15" s="6">
        <v>1</v>
      </c>
      <c r="AJ15" s="71" t="str">
        <f>MID(D15,5,LEN(D15)-4)</f>
        <v>ACIQ1</v>
      </c>
    </row>
    <row r="16" spans="1:36" ht="118.95" customHeight="1" x14ac:dyDescent="0.3">
      <c r="A16" s="1">
        <f t="shared" si="0"/>
        <v>188</v>
      </c>
      <c r="B16" cm="1">
        <f t="array" ref="B16">IFERROR(MAX(--_xlfn.TEXTSPLIT(C16,";")),0)</f>
        <v>14</v>
      </c>
      <c r="C16" t="s">
        <v>1763</v>
      </c>
      <c r="D16" s="1" t="s">
        <v>357</v>
      </c>
      <c r="E16" s="1" t="s">
        <v>358</v>
      </c>
      <c r="F16" s="1">
        <v>1</v>
      </c>
      <c r="G16" s="1" t="s">
        <v>359</v>
      </c>
      <c r="H16" s="1" t="s">
        <v>360</v>
      </c>
      <c r="I16" s="1" t="s">
        <v>111</v>
      </c>
      <c r="J16" s="1" t="s">
        <v>112</v>
      </c>
      <c r="K16" s="1" t="s">
        <v>38</v>
      </c>
      <c r="L16" s="1" t="s">
        <v>66</v>
      </c>
      <c r="M16" s="2" t="s">
        <v>40</v>
      </c>
      <c r="N16" s="3">
        <v>5468000</v>
      </c>
      <c r="O16" s="3" t="s">
        <v>41</v>
      </c>
      <c r="P16" s="1" t="s">
        <v>361</v>
      </c>
      <c r="Q16" s="1" t="s">
        <v>133</v>
      </c>
      <c r="R16" s="3" t="s">
        <v>44</v>
      </c>
      <c r="S16" s="3" t="s">
        <v>152</v>
      </c>
      <c r="T16" s="2">
        <v>37264</v>
      </c>
      <c r="U16" s="2">
        <v>37840</v>
      </c>
      <c r="V16" s="2">
        <v>37862</v>
      </c>
      <c r="W16" s="2">
        <v>37924</v>
      </c>
      <c r="X16" s="2">
        <v>37993</v>
      </c>
      <c r="Y16" s="3" t="s">
        <v>362</v>
      </c>
      <c r="Z16" s="3" t="s">
        <v>363</v>
      </c>
      <c r="AA16" s="3" t="s">
        <v>364</v>
      </c>
      <c r="AB16" s="2">
        <v>37993</v>
      </c>
      <c r="AC16" s="2">
        <v>52908</v>
      </c>
      <c r="AD16" s="2" t="s">
        <v>106</v>
      </c>
      <c r="AE16" s="2" t="s">
        <v>50</v>
      </c>
      <c r="AF16" s="2">
        <v>39484</v>
      </c>
      <c r="AG16" s="2">
        <v>43100</v>
      </c>
      <c r="AH16" s="8">
        <v>8769723.2791693248</v>
      </c>
      <c r="AI16" s="6">
        <v>1</v>
      </c>
      <c r="AJ16" s="71" t="str">
        <f>MID(D16,5,LEN(D16)-4)</f>
        <v>ACNO1</v>
      </c>
    </row>
    <row r="17" spans="1:36" ht="118.95" customHeight="1" x14ac:dyDescent="0.3">
      <c r="A17" s="1">
        <f t="shared" si="0"/>
        <v>188</v>
      </c>
      <c r="B17" cm="1">
        <f t="array" ref="B17">IFERROR(MAX(--_xlfn.TEXTSPLIT(C17,";")),0)</f>
        <v>16</v>
      </c>
      <c r="C17" t="s">
        <v>1764</v>
      </c>
      <c r="D17" s="1" t="s">
        <v>80</v>
      </c>
      <c r="E17" s="59" t="s">
        <v>1849</v>
      </c>
      <c r="F17" s="1">
        <v>1</v>
      </c>
      <c r="G17" s="1" t="s">
        <v>81</v>
      </c>
      <c r="H17" s="1" t="s">
        <v>82</v>
      </c>
      <c r="I17" s="1" t="s">
        <v>36</v>
      </c>
      <c r="J17" s="1" t="s">
        <v>83</v>
      </c>
      <c r="K17" s="1" t="s">
        <v>38</v>
      </c>
      <c r="L17" s="1" t="s">
        <v>39</v>
      </c>
      <c r="M17" s="2" t="s">
        <v>40</v>
      </c>
      <c r="N17" s="3">
        <v>3403643</v>
      </c>
      <c r="O17" s="3" t="s">
        <v>41</v>
      </c>
      <c r="P17" s="4" t="s">
        <v>84</v>
      </c>
      <c r="Q17" s="1" t="s">
        <v>43</v>
      </c>
      <c r="R17" s="3" t="s">
        <v>44</v>
      </c>
      <c r="S17" s="3" t="s">
        <v>85</v>
      </c>
      <c r="T17" s="2">
        <v>34645</v>
      </c>
      <c r="U17" s="2">
        <v>34653</v>
      </c>
      <c r="V17" s="2">
        <v>34698</v>
      </c>
      <c r="W17" s="2">
        <v>34705</v>
      </c>
      <c r="X17" s="2">
        <v>34794</v>
      </c>
      <c r="Y17" s="3" t="s">
        <v>86</v>
      </c>
      <c r="Z17" s="3" t="s">
        <v>87</v>
      </c>
      <c r="AA17" s="3" t="s">
        <v>88</v>
      </c>
      <c r="AB17" s="2">
        <v>34801</v>
      </c>
      <c r="AC17" s="2">
        <v>45747</v>
      </c>
      <c r="AD17" s="2" t="s">
        <v>49</v>
      </c>
      <c r="AE17" s="2" t="s">
        <v>50</v>
      </c>
      <c r="AF17" s="2">
        <v>35999</v>
      </c>
      <c r="AG17" s="2">
        <v>36160</v>
      </c>
      <c r="AH17" s="5">
        <v>7091175.5760826981</v>
      </c>
      <c r="AI17" s="6">
        <v>1</v>
      </c>
      <c r="AJ17" s="71" t="str">
        <f>MID(D17,5,LEN(D17)-4)</f>
        <v>ANCO1</v>
      </c>
    </row>
    <row r="18" spans="1:36" ht="118.95" customHeight="1" x14ac:dyDescent="0.3">
      <c r="A18" s="1">
        <f t="shared" si="0"/>
        <v>188</v>
      </c>
      <c r="B18" cm="1">
        <f t="array" ref="B18">IFERROR(MAX(--_xlfn.TEXTSPLIT(C18,";")),0)</f>
        <v>17</v>
      </c>
      <c r="C18" t="s">
        <v>1765</v>
      </c>
      <c r="D18" s="1" t="s">
        <v>204</v>
      </c>
      <c r="E18" s="1" t="s">
        <v>205</v>
      </c>
      <c r="F18" s="1">
        <v>1</v>
      </c>
      <c r="G18" s="1" t="s">
        <v>206</v>
      </c>
      <c r="H18" s="1" t="s">
        <v>207</v>
      </c>
      <c r="I18" s="1" t="s">
        <v>64</v>
      </c>
      <c r="J18" s="1" t="s">
        <v>112</v>
      </c>
      <c r="K18" s="1" t="s">
        <v>38</v>
      </c>
      <c r="L18" s="1" t="s">
        <v>39</v>
      </c>
      <c r="M18" s="2" t="s">
        <v>40</v>
      </c>
      <c r="N18" s="3">
        <v>4600000</v>
      </c>
      <c r="O18" s="3" t="s">
        <v>41</v>
      </c>
      <c r="P18" s="1" t="s">
        <v>208</v>
      </c>
      <c r="Q18" s="1" t="s">
        <v>43</v>
      </c>
      <c r="R18" s="3" t="s">
        <v>123</v>
      </c>
      <c r="S18" s="3" t="s">
        <v>209</v>
      </c>
      <c r="T18" s="2">
        <v>35598</v>
      </c>
      <c r="U18" s="2">
        <v>35718</v>
      </c>
      <c r="V18" s="2">
        <v>35752</v>
      </c>
      <c r="W18" s="2">
        <v>35769</v>
      </c>
      <c r="X18" s="2">
        <v>35846</v>
      </c>
      <c r="Y18" s="3" t="s">
        <v>210</v>
      </c>
      <c r="Z18" s="3" t="s">
        <v>211</v>
      </c>
      <c r="AA18" s="3" t="s">
        <v>212</v>
      </c>
      <c r="AB18" s="2">
        <v>35983</v>
      </c>
      <c r="AC18" s="2">
        <v>42277</v>
      </c>
      <c r="AD18" s="2" t="s">
        <v>106</v>
      </c>
      <c r="AE18" s="2" t="s">
        <v>50</v>
      </c>
      <c r="AF18" s="2" t="s">
        <v>50</v>
      </c>
      <c r="AG18" s="2" t="s">
        <v>50</v>
      </c>
      <c r="AH18" s="5">
        <v>8543190.5899999999</v>
      </c>
      <c r="AI18" s="6">
        <v>1</v>
      </c>
      <c r="AJ18" s="71" t="str">
        <f>MID(D18,5,LEN(D18)-4)</f>
        <v>AAMB1</v>
      </c>
    </row>
    <row r="19" spans="1:36" ht="118.95" customHeight="1" x14ac:dyDescent="0.3">
      <c r="A19" s="1">
        <f t="shared" si="0"/>
        <v>188</v>
      </c>
      <c r="B19" cm="1">
        <f t="array" ref="B19">IFERROR(MAX(--_xlfn.TEXTSPLIT(C19,";")),0)</f>
        <v>17</v>
      </c>
      <c r="C19" t="s">
        <v>1765</v>
      </c>
      <c r="D19" s="1" t="s">
        <v>706</v>
      </c>
      <c r="E19" s="1" t="s">
        <v>205</v>
      </c>
      <c r="F19" s="1">
        <v>2</v>
      </c>
      <c r="G19" s="1" t="s">
        <v>707</v>
      </c>
      <c r="H19" s="1" t="s">
        <v>708</v>
      </c>
      <c r="I19" s="1" t="s">
        <v>64</v>
      </c>
      <c r="J19" s="1" t="s">
        <v>112</v>
      </c>
      <c r="K19" s="1" t="s">
        <v>38</v>
      </c>
      <c r="L19" s="1" t="s">
        <v>39</v>
      </c>
      <c r="M19" s="2" t="s">
        <v>40</v>
      </c>
      <c r="N19" s="3">
        <v>14980000</v>
      </c>
      <c r="O19" s="3" t="s">
        <v>41</v>
      </c>
      <c r="P19" s="1" t="s">
        <v>709</v>
      </c>
      <c r="Q19" s="1" t="s">
        <v>133</v>
      </c>
      <c r="R19" s="3" t="s">
        <v>123</v>
      </c>
      <c r="S19" s="3" t="s">
        <v>710</v>
      </c>
      <c r="T19" s="2">
        <v>41810</v>
      </c>
      <c r="U19" s="2">
        <v>42003</v>
      </c>
      <c r="V19" s="2">
        <v>42039</v>
      </c>
      <c r="W19" s="2">
        <v>42075</v>
      </c>
      <c r="X19" s="2">
        <v>42115</v>
      </c>
      <c r="Y19" s="3" t="s">
        <v>711</v>
      </c>
      <c r="Z19" s="3" t="s">
        <v>712</v>
      </c>
      <c r="AA19" s="3" t="s">
        <v>713</v>
      </c>
      <c r="AB19" s="2">
        <v>42115</v>
      </c>
      <c r="AC19" s="2">
        <v>49583</v>
      </c>
      <c r="AD19" s="2" t="s">
        <v>49</v>
      </c>
      <c r="AE19" s="2">
        <v>42678</v>
      </c>
      <c r="AF19" s="2">
        <v>46021</v>
      </c>
      <c r="AG19" s="2" t="s">
        <v>531</v>
      </c>
      <c r="AH19" s="14">
        <v>28944329.199999999</v>
      </c>
      <c r="AI19" s="15">
        <v>0.99839999999999995</v>
      </c>
      <c r="AJ19" s="71" t="str">
        <f>MID(D19,5,LEN(D19)-4)</f>
        <v>AAMB2</v>
      </c>
    </row>
    <row r="20" spans="1:36" ht="244.2" customHeight="1" x14ac:dyDescent="0.3">
      <c r="A20" s="1">
        <f t="shared" si="0"/>
        <v>188</v>
      </c>
      <c r="B20" cm="1">
        <f t="array" ref="B20">IFERROR(MAX(--_xlfn.TEXTSPLIT(C20,";")),0)</f>
        <v>18</v>
      </c>
      <c r="C20" t="s">
        <v>1766</v>
      </c>
      <c r="D20" s="1" t="s">
        <v>398</v>
      </c>
      <c r="E20" s="1" t="s">
        <v>1848</v>
      </c>
      <c r="F20" s="1">
        <v>1</v>
      </c>
      <c r="G20" s="1" t="s">
        <v>399</v>
      </c>
      <c r="H20" s="1" t="s">
        <v>400</v>
      </c>
      <c r="I20" s="1" t="s">
        <v>64</v>
      </c>
      <c r="J20" s="1" t="s">
        <v>401</v>
      </c>
      <c r="K20" s="1" t="s">
        <v>38</v>
      </c>
      <c r="L20" s="1" t="s">
        <v>39</v>
      </c>
      <c r="M20" s="2" t="s">
        <v>40</v>
      </c>
      <c r="N20" s="3">
        <v>327809</v>
      </c>
      <c r="O20" s="3" t="s">
        <v>41</v>
      </c>
      <c r="P20" s="1" t="s">
        <v>402</v>
      </c>
      <c r="Q20" s="1" t="s">
        <v>43</v>
      </c>
      <c r="R20" s="3" t="s">
        <v>123</v>
      </c>
      <c r="S20" s="3" t="s">
        <v>114</v>
      </c>
      <c r="T20" s="2">
        <v>37801</v>
      </c>
      <c r="U20" s="2">
        <v>37938</v>
      </c>
      <c r="V20" s="2">
        <v>37971</v>
      </c>
      <c r="W20" s="2">
        <v>38023</v>
      </c>
      <c r="X20" s="2">
        <v>38096</v>
      </c>
      <c r="Y20" s="3" t="s">
        <v>403</v>
      </c>
      <c r="Z20" s="3" t="s">
        <v>404</v>
      </c>
      <c r="AA20" s="3" t="s">
        <v>405</v>
      </c>
      <c r="AB20" s="2">
        <v>38096</v>
      </c>
      <c r="AC20" s="2">
        <v>43573</v>
      </c>
      <c r="AD20" s="2" t="s">
        <v>49</v>
      </c>
      <c r="AE20" s="2" t="s">
        <v>50</v>
      </c>
      <c r="AF20" s="2">
        <v>38936</v>
      </c>
      <c r="AG20" s="2">
        <v>39118</v>
      </c>
      <c r="AH20" s="5">
        <v>471611.79000000004</v>
      </c>
      <c r="AI20" s="6">
        <v>1</v>
      </c>
      <c r="AJ20" s="71" t="str">
        <f>MID(D20,5,LEN(D20)-4)</f>
        <v>ACHA1</v>
      </c>
    </row>
    <row r="21" spans="1:36" ht="118.95" customHeight="1" x14ac:dyDescent="0.3">
      <c r="A21" s="1">
        <f t="shared" si="0"/>
        <v>188</v>
      </c>
      <c r="B21" cm="1">
        <f t="array" ref="B21">IFERROR(MAX(--_xlfn.TEXTSPLIT(C21,";")),0)</f>
        <v>18</v>
      </c>
      <c r="C21" t="s">
        <v>1766</v>
      </c>
      <c r="D21" s="1" t="s">
        <v>832</v>
      </c>
      <c r="E21" s="1" t="s">
        <v>1848</v>
      </c>
      <c r="F21" s="1">
        <v>2</v>
      </c>
      <c r="G21" s="1" t="s">
        <v>833</v>
      </c>
      <c r="H21" s="1" t="s">
        <v>834</v>
      </c>
      <c r="I21" s="1" t="s">
        <v>64</v>
      </c>
      <c r="J21" s="1" t="s">
        <v>401</v>
      </c>
      <c r="K21" s="1" t="s">
        <v>38</v>
      </c>
      <c r="L21" s="1" t="s">
        <v>39</v>
      </c>
      <c r="M21" s="2" t="s">
        <v>40</v>
      </c>
      <c r="N21" s="3">
        <v>2031000</v>
      </c>
      <c r="O21" s="3" t="s">
        <v>41</v>
      </c>
      <c r="P21" s="1" t="s">
        <v>835</v>
      </c>
      <c r="Q21" s="1" t="s">
        <v>662</v>
      </c>
      <c r="R21" s="3" t="s">
        <v>44</v>
      </c>
      <c r="S21" s="3" t="s">
        <v>124</v>
      </c>
      <c r="T21" s="2">
        <v>43364</v>
      </c>
      <c r="U21" s="2">
        <v>43455</v>
      </c>
      <c r="V21" s="2">
        <v>43481</v>
      </c>
      <c r="W21" s="2">
        <v>43500</v>
      </c>
      <c r="X21" s="2">
        <v>43544</v>
      </c>
      <c r="Y21" s="3" t="s">
        <v>836</v>
      </c>
      <c r="Z21" s="3" t="s">
        <v>837</v>
      </c>
      <c r="AA21" s="3" t="s">
        <v>838</v>
      </c>
      <c r="AB21" s="2">
        <v>43544</v>
      </c>
      <c r="AC21" s="2">
        <v>49035</v>
      </c>
      <c r="AD21" s="2" t="s">
        <v>49</v>
      </c>
      <c r="AE21" s="2">
        <v>44127</v>
      </c>
      <c r="AF21" s="2" t="s">
        <v>697</v>
      </c>
      <c r="AG21" s="2" t="s">
        <v>697</v>
      </c>
      <c r="AH21" s="5">
        <v>2031000</v>
      </c>
      <c r="AI21" s="15">
        <v>1</v>
      </c>
      <c r="AJ21" s="71" t="str">
        <f>MID(D21,5,LEN(D21)-4)</f>
        <v>ACHA2</v>
      </c>
    </row>
    <row r="22" spans="1:36" ht="118.95" customHeight="1" x14ac:dyDescent="0.3">
      <c r="A22" s="1">
        <f t="shared" si="0"/>
        <v>188</v>
      </c>
      <c r="B22" cm="1">
        <f t="array" ref="B22">IFERROR(MAX(--_xlfn.TEXTSPLIT(C22,";")),0)</f>
        <v>19</v>
      </c>
      <c r="C22" t="s">
        <v>1767</v>
      </c>
      <c r="D22" s="1" t="s">
        <v>252</v>
      </c>
      <c r="E22" s="1" t="s">
        <v>562</v>
      </c>
      <c r="F22" s="1">
        <v>1</v>
      </c>
      <c r="G22" s="1" t="s">
        <v>253</v>
      </c>
      <c r="H22" s="1" t="s">
        <v>254</v>
      </c>
      <c r="I22" s="1" t="s">
        <v>64</v>
      </c>
      <c r="J22" s="1" t="s">
        <v>255</v>
      </c>
      <c r="K22" s="1" t="s">
        <v>38</v>
      </c>
      <c r="L22" s="1" t="s">
        <v>39</v>
      </c>
      <c r="M22" s="2" t="s">
        <v>40</v>
      </c>
      <c r="N22" s="3">
        <v>320573</v>
      </c>
      <c r="O22" s="3" t="s">
        <v>41</v>
      </c>
      <c r="P22" s="1" t="s">
        <v>256</v>
      </c>
      <c r="Q22" s="1" t="s">
        <v>43</v>
      </c>
      <c r="R22" s="3" t="s">
        <v>44</v>
      </c>
      <c r="S22" s="3" t="s">
        <v>257</v>
      </c>
      <c r="T22" s="2">
        <v>36370</v>
      </c>
      <c r="U22" s="2">
        <v>36447</v>
      </c>
      <c r="V22" s="2">
        <v>36487</v>
      </c>
      <c r="W22" s="2">
        <v>36564</v>
      </c>
      <c r="X22" s="2">
        <v>36640</v>
      </c>
      <c r="Y22" s="3" t="s">
        <v>258</v>
      </c>
      <c r="Z22" s="3" t="s">
        <v>259</v>
      </c>
      <c r="AA22" s="7" t="s">
        <v>260</v>
      </c>
      <c r="AB22" s="2">
        <v>36640</v>
      </c>
      <c r="AC22" s="2">
        <v>40260</v>
      </c>
      <c r="AD22" s="2" t="s">
        <v>49</v>
      </c>
      <c r="AE22" s="2" t="s">
        <v>50</v>
      </c>
      <c r="AF22" s="2">
        <v>37606</v>
      </c>
      <c r="AG22" s="2" t="s">
        <v>50</v>
      </c>
      <c r="AH22" s="5">
        <v>324423.18</v>
      </c>
      <c r="AI22" s="6">
        <v>1</v>
      </c>
      <c r="AJ22" s="71" t="str">
        <f>MID(D22,5,LEN(D22)-4)</f>
        <v>ACIP1</v>
      </c>
    </row>
    <row r="23" spans="1:36" ht="118.95" customHeight="1" x14ac:dyDescent="0.3">
      <c r="A23" s="1">
        <f t="shared" si="0"/>
        <v>188</v>
      </c>
      <c r="B23" cm="1">
        <f t="array" ref="B23">IFERROR(MAX(--_xlfn.TEXTSPLIT(C23,";")),0)</f>
        <v>19</v>
      </c>
      <c r="C23" t="s">
        <v>1767</v>
      </c>
      <c r="D23" s="1" t="s">
        <v>561</v>
      </c>
      <c r="E23" s="1" t="s">
        <v>562</v>
      </c>
      <c r="F23" s="1">
        <v>2</v>
      </c>
      <c r="G23" s="1" t="s">
        <v>563</v>
      </c>
      <c r="H23" s="1" t="s">
        <v>564</v>
      </c>
      <c r="I23" s="1" t="s">
        <v>64</v>
      </c>
      <c r="J23" s="1" t="s">
        <v>255</v>
      </c>
      <c r="K23" s="1" t="s">
        <v>38</v>
      </c>
      <c r="L23" s="1" t="s">
        <v>39</v>
      </c>
      <c r="M23" s="2" t="s">
        <v>40</v>
      </c>
      <c r="N23" s="3">
        <v>314115</v>
      </c>
      <c r="O23" s="3" t="s">
        <v>41</v>
      </c>
      <c r="P23" s="1" t="s">
        <v>565</v>
      </c>
      <c r="Q23" s="1" t="s">
        <v>43</v>
      </c>
      <c r="R23" s="3" t="s">
        <v>123</v>
      </c>
      <c r="S23" s="3" t="s">
        <v>152</v>
      </c>
      <c r="T23" s="2">
        <v>39818</v>
      </c>
      <c r="U23" s="2">
        <v>40017</v>
      </c>
      <c r="V23" s="2">
        <v>40039</v>
      </c>
      <c r="W23" s="2">
        <v>40127</v>
      </c>
      <c r="X23" s="2">
        <v>40191</v>
      </c>
      <c r="Y23" s="3" t="s">
        <v>566</v>
      </c>
      <c r="Z23" s="3" t="s">
        <v>567</v>
      </c>
      <c r="AA23" s="3" t="s">
        <v>568</v>
      </c>
      <c r="AB23" s="2">
        <v>40191</v>
      </c>
      <c r="AC23" s="2">
        <v>44286</v>
      </c>
      <c r="AD23" s="2" t="s">
        <v>49</v>
      </c>
      <c r="AE23" s="2" t="s">
        <v>50</v>
      </c>
      <c r="AF23" s="2">
        <v>40934</v>
      </c>
      <c r="AG23" s="2">
        <v>41155</v>
      </c>
      <c r="AH23" s="5">
        <v>339463.12000000005</v>
      </c>
      <c r="AI23" s="6">
        <v>1</v>
      </c>
      <c r="AJ23" s="71" t="str">
        <f>MID(D23,5,LEN(D23)-4)</f>
        <v>ACIP2</v>
      </c>
    </row>
    <row r="24" spans="1:36" ht="118.95" customHeight="1" x14ac:dyDescent="0.3">
      <c r="A24" s="1">
        <f t="shared" si="0"/>
        <v>188</v>
      </c>
      <c r="B24" cm="1">
        <f t="array" ref="B24">IFERROR(MAX(--_xlfn.TEXTSPLIT(C24,";")),0)</f>
        <v>16</v>
      </c>
      <c r="C24" t="s">
        <v>1764</v>
      </c>
      <c r="D24" s="1" t="s">
        <v>983</v>
      </c>
      <c r="E24" s="1" t="s">
        <v>1849</v>
      </c>
      <c r="F24" s="1">
        <v>2</v>
      </c>
      <c r="G24" s="1" t="s">
        <v>984</v>
      </c>
      <c r="H24" s="1" t="s">
        <v>985</v>
      </c>
      <c r="I24" s="1" t="s">
        <v>36</v>
      </c>
      <c r="J24" s="1" t="s">
        <v>83</v>
      </c>
      <c r="K24" s="1" t="s">
        <v>38</v>
      </c>
      <c r="L24" s="1" t="s">
        <v>39</v>
      </c>
      <c r="M24" s="2" t="s">
        <v>40</v>
      </c>
      <c r="N24" s="3">
        <v>12527000</v>
      </c>
      <c r="O24" s="3" t="s">
        <v>41</v>
      </c>
      <c r="P24" s="1" t="s">
        <v>986</v>
      </c>
      <c r="Q24" s="1" t="s">
        <v>662</v>
      </c>
      <c r="R24" s="3" t="s">
        <v>44</v>
      </c>
      <c r="S24" s="3" t="s">
        <v>152</v>
      </c>
      <c r="T24" s="2">
        <v>45155</v>
      </c>
      <c r="U24" s="2">
        <v>45548</v>
      </c>
      <c r="V24" s="2">
        <v>45576</v>
      </c>
      <c r="W24" s="2">
        <v>45636</v>
      </c>
      <c r="X24" s="2">
        <v>45730</v>
      </c>
      <c r="Y24" s="1" t="s">
        <v>987</v>
      </c>
      <c r="Z24" s="28" t="s">
        <v>988</v>
      </c>
      <c r="AA24" s="64" t="s">
        <v>989</v>
      </c>
      <c r="AB24" s="2">
        <v>45730</v>
      </c>
      <c r="AC24" s="2">
        <v>62166</v>
      </c>
      <c r="AD24" s="1" t="s">
        <v>106</v>
      </c>
      <c r="AE24" s="2" t="s">
        <v>855</v>
      </c>
      <c r="AF24" s="2" t="s">
        <v>697</v>
      </c>
      <c r="AG24" s="2" t="s">
        <v>697</v>
      </c>
      <c r="AH24" s="22">
        <v>12527000</v>
      </c>
      <c r="AI24" s="6">
        <v>0</v>
      </c>
      <c r="AJ24" s="71" t="str">
        <f>MID(D24,5,LEN(D24)-4)</f>
        <v>ANCO2</v>
      </c>
    </row>
    <row r="25" spans="1:36" ht="118.95" customHeight="1" x14ac:dyDescent="0.3">
      <c r="A25" s="1">
        <f t="shared" si="0"/>
        <v>188</v>
      </c>
      <c r="B25" cm="1">
        <f t="array" ref="B25">IFERROR(MAX(--_xlfn.TEXTSPLIT(C25,";")),0)</f>
        <v>20</v>
      </c>
      <c r="C25" t="s">
        <v>1768</v>
      </c>
      <c r="D25" s="1" t="s">
        <v>237</v>
      </c>
      <c r="E25" s="1" t="s">
        <v>608</v>
      </c>
      <c r="F25" s="1">
        <v>1</v>
      </c>
      <c r="G25" s="1" t="s">
        <v>238</v>
      </c>
      <c r="H25" s="1" t="s">
        <v>239</v>
      </c>
      <c r="I25" s="1" t="s">
        <v>64</v>
      </c>
      <c r="J25" s="1" t="s">
        <v>190</v>
      </c>
      <c r="K25" s="1" t="s">
        <v>38</v>
      </c>
      <c r="L25" s="1" t="s">
        <v>66</v>
      </c>
      <c r="M25" s="2" t="s">
        <v>40</v>
      </c>
      <c r="N25" s="3">
        <v>250000</v>
      </c>
      <c r="O25" s="3" t="s">
        <v>41</v>
      </c>
      <c r="P25" s="1" t="s">
        <v>240</v>
      </c>
      <c r="Q25" s="1" t="s">
        <v>43</v>
      </c>
      <c r="R25" s="3" t="s">
        <v>44</v>
      </c>
      <c r="S25" s="3" t="s">
        <v>143</v>
      </c>
      <c r="T25" s="2">
        <v>36271</v>
      </c>
      <c r="U25" s="2">
        <v>36356</v>
      </c>
      <c r="V25" s="2">
        <v>36389</v>
      </c>
      <c r="W25" s="2">
        <v>36462</v>
      </c>
      <c r="X25" s="2">
        <v>36545</v>
      </c>
      <c r="Y25" s="3" t="s">
        <v>241</v>
      </c>
      <c r="Z25" s="3" t="s">
        <v>242</v>
      </c>
      <c r="AA25" s="3" t="s">
        <v>243</v>
      </c>
      <c r="AB25" s="2">
        <v>36545</v>
      </c>
      <c r="AC25" s="2">
        <v>40890</v>
      </c>
      <c r="AD25" s="2" t="s">
        <v>49</v>
      </c>
      <c r="AE25" s="2" t="s">
        <v>50</v>
      </c>
      <c r="AF25" s="2">
        <v>36905</v>
      </c>
      <c r="AG25" s="2">
        <v>37377</v>
      </c>
      <c r="AH25" s="5">
        <v>268749.30999999994</v>
      </c>
      <c r="AI25" s="6">
        <v>1</v>
      </c>
      <c r="AJ25" s="71" t="str">
        <f>MID(D25,5,LEN(D25)-4)</f>
        <v>ACMA1</v>
      </c>
    </row>
    <row r="26" spans="1:36" ht="118.95" customHeight="1" x14ac:dyDescent="0.3">
      <c r="A26" s="1">
        <f t="shared" si="0"/>
        <v>188</v>
      </c>
      <c r="B26" cm="1">
        <f t="array" ref="B26">IFERROR(MAX(--_xlfn.TEXTSPLIT(C26,";")),0)</f>
        <v>20</v>
      </c>
      <c r="C26" t="s">
        <v>1768</v>
      </c>
      <c r="D26" s="1" t="s">
        <v>607</v>
      </c>
      <c r="E26" s="1" t="s">
        <v>608</v>
      </c>
      <c r="F26" s="1">
        <v>2</v>
      </c>
      <c r="G26" s="1" t="s">
        <v>609</v>
      </c>
      <c r="H26" s="1" t="s">
        <v>610</v>
      </c>
      <c r="I26" s="1" t="s">
        <v>64</v>
      </c>
      <c r="J26" s="1" t="s">
        <v>190</v>
      </c>
      <c r="K26" s="1" t="s">
        <v>38</v>
      </c>
      <c r="L26" s="1" t="s">
        <v>39</v>
      </c>
      <c r="M26" s="2" t="s">
        <v>40</v>
      </c>
      <c r="N26" s="3">
        <v>665000</v>
      </c>
      <c r="O26" s="3" t="s">
        <v>41</v>
      </c>
      <c r="P26" s="1" t="s">
        <v>611</v>
      </c>
      <c r="Q26" s="1" t="s">
        <v>43</v>
      </c>
      <c r="R26" s="3" t="s">
        <v>123</v>
      </c>
      <c r="S26" s="3" t="s">
        <v>152</v>
      </c>
      <c r="T26" s="2">
        <v>40543</v>
      </c>
      <c r="U26" s="2">
        <v>40752</v>
      </c>
      <c r="V26" s="2">
        <v>40780</v>
      </c>
      <c r="W26" s="2">
        <v>40830</v>
      </c>
      <c r="X26" s="2">
        <v>40865</v>
      </c>
      <c r="Y26" s="3" t="s">
        <v>612</v>
      </c>
      <c r="Z26" s="3" t="s">
        <v>613</v>
      </c>
      <c r="AA26" s="3" t="s">
        <v>614</v>
      </c>
      <c r="AB26" s="2">
        <v>40865</v>
      </c>
      <c r="AC26" s="2">
        <v>46081</v>
      </c>
      <c r="AD26" s="2" t="s">
        <v>49</v>
      </c>
      <c r="AE26" s="2" t="s">
        <v>50</v>
      </c>
      <c r="AF26" s="2">
        <v>40892</v>
      </c>
      <c r="AG26" s="2">
        <v>42175</v>
      </c>
      <c r="AH26" s="8">
        <v>824926.70000000007</v>
      </c>
      <c r="AI26" s="6">
        <v>1</v>
      </c>
      <c r="AJ26" s="71" t="str">
        <f>MID(D26,5,LEN(D26)-4)</f>
        <v>ACMA2</v>
      </c>
    </row>
    <row r="27" spans="1:36" ht="118.95" customHeight="1" x14ac:dyDescent="0.3">
      <c r="A27" s="1">
        <f t="shared" si="0"/>
        <v>188</v>
      </c>
      <c r="B27" cm="1">
        <f t="array" ref="B27">IFERROR(MAX(--_xlfn.TEXTSPLIT(C27,";")),0)</f>
        <v>24</v>
      </c>
      <c r="C27" t="s">
        <v>1769</v>
      </c>
      <c r="D27" s="1" t="s">
        <v>577</v>
      </c>
      <c r="E27" s="1" t="s">
        <v>1854</v>
      </c>
      <c r="F27" s="1">
        <v>1</v>
      </c>
      <c r="G27" s="1" t="s">
        <v>578</v>
      </c>
      <c r="H27" s="1" t="s">
        <v>579</v>
      </c>
      <c r="I27" s="1" t="s">
        <v>36</v>
      </c>
      <c r="J27" s="1" t="s">
        <v>190</v>
      </c>
      <c r="K27" s="1" t="s">
        <v>38</v>
      </c>
      <c r="L27" s="1" t="s">
        <v>66</v>
      </c>
      <c r="M27" s="2">
        <v>38603</v>
      </c>
      <c r="N27" s="3">
        <v>7750000</v>
      </c>
      <c r="O27" s="3" t="s">
        <v>41</v>
      </c>
      <c r="P27" s="1" t="s">
        <v>580</v>
      </c>
      <c r="Q27" s="1" t="s">
        <v>133</v>
      </c>
      <c r="R27" s="3" t="s">
        <v>44</v>
      </c>
      <c r="S27" s="3" t="s">
        <v>265</v>
      </c>
      <c r="T27" s="2">
        <v>40018</v>
      </c>
      <c r="U27" s="2">
        <v>40178</v>
      </c>
      <c r="V27" s="2">
        <v>40204</v>
      </c>
      <c r="W27" s="2">
        <v>40224</v>
      </c>
      <c r="X27" s="2">
        <v>40275</v>
      </c>
      <c r="Y27" s="3" t="s">
        <v>581</v>
      </c>
      <c r="Z27" s="3" t="s">
        <v>582</v>
      </c>
      <c r="AA27" s="3" t="s">
        <v>583</v>
      </c>
      <c r="AB27" s="2">
        <v>40275</v>
      </c>
      <c r="AC27" s="2">
        <v>47733</v>
      </c>
      <c r="AD27" s="2" t="s">
        <v>49</v>
      </c>
      <c r="AE27" s="2" t="s">
        <v>50</v>
      </c>
      <c r="AF27" s="2">
        <v>41730</v>
      </c>
      <c r="AG27" s="2">
        <v>42004</v>
      </c>
      <c r="AH27" s="8">
        <v>7635989.3900000006</v>
      </c>
      <c r="AI27" s="6">
        <v>1</v>
      </c>
      <c r="AJ27" s="71" t="str">
        <f>MID(D27,5,LEN(D27)-4)</f>
        <v>AURA1</v>
      </c>
    </row>
    <row r="28" spans="1:36" ht="118.95" customHeight="1" x14ac:dyDescent="0.3">
      <c r="A28" s="1">
        <f t="shared" si="0"/>
        <v>188</v>
      </c>
      <c r="B28" cm="1">
        <f t="array" ref="B28">IFERROR(MAX(--_xlfn.TEXTSPLIT(C28,";")),0)</f>
        <v>25</v>
      </c>
      <c r="C28" t="s">
        <v>1770</v>
      </c>
      <c r="D28" s="1" t="s">
        <v>230</v>
      </c>
      <c r="E28" s="1" t="s">
        <v>738</v>
      </c>
      <c r="F28" s="1">
        <v>1</v>
      </c>
      <c r="G28" s="1" t="s">
        <v>231</v>
      </c>
      <c r="H28" s="1" t="s">
        <v>232</v>
      </c>
      <c r="I28" s="1" t="s">
        <v>64</v>
      </c>
      <c r="J28" s="1" t="s">
        <v>55</v>
      </c>
      <c r="K28" s="1" t="s">
        <v>38</v>
      </c>
      <c r="L28" s="1" t="s">
        <v>66</v>
      </c>
      <c r="M28" s="2" t="s">
        <v>40</v>
      </c>
      <c r="N28" s="3">
        <v>629300</v>
      </c>
      <c r="O28" s="3" t="s">
        <v>41</v>
      </c>
      <c r="P28" s="1" t="s">
        <v>233</v>
      </c>
      <c r="Q28" s="1" t="s">
        <v>43</v>
      </c>
      <c r="R28" s="3" t="s">
        <v>44</v>
      </c>
      <c r="S28" s="3" t="s">
        <v>143</v>
      </c>
      <c r="T28" s="2">
        <v>36012</v>
      </c>
      <c r="U28" s="2">
        <v>36083</v>
      </c>
      <c r="V28" s="2">
        <v>36109</v>
      </c>
      <c r="W28" s="2">
        <v>36180</v>
      </c>
      <c r="X28" s="2">
        <v>36278</v>
      </c>
      <c r="Y28" s="3" t="s">
        <v>234</v>
      </c>
      <c r="Z28" s="3" t="s">
        <v>235</v>
      </c>
      <c r="AA28" s="3" t="s">
        <v>236</v>
      </c>
      <c r="AB28" s="2">
        <v>36184</v>
      </c>
      <c r="AC28" s="2">
        <v>42605</v>
      </c>
      <c r="AD28" s="2" t="s">
        <v>49</v>
      </c>
      <c r="AE28" s="2" t="s">
        <v>50</v>
      </c>
      <c r="AF28" s="2">
        <v>36875</v>
      </c>
      <c r="AG28" s="2">
        <v>37084</v>
      </c>
      <c r="AH28" s="5">
        <v>945229.47</v>
      </c>
      <c r="AI28" s="6">
        <v>1</v>
      </c>
      <c r="AJ28" s="71" t="str">
        <f>MID(D28,5,LEN(D28)-4)</f>
        <v>ACSU1</v>
      </c>
    </row>
    <row r="29" spans="1:36" ht="118.95" customHeight="1" x14ac:dyDescent="0.3">
      <c r="A29" s="1">
        <f t="shared" si="0"/>
        <v>188</v>
      </c>
      <c r="B29" cm="1">
        <f t="array" ref="B29">IFERROR(MAX(--_xlfn.TEXTSPLIT(C29,";")),0)</f>
        <v>25</v>
      </c>
      <c r="C29" t="s">
        <v>1770</v>
      </c>
      <c r="D29" s="1" t="s">
        <v>737</v>
      </c>
      <c r="E29" s="1" t="s">
        <v>738</v>
      </c>
      <c r="F29" s="1">
        <v>2</v>
      </c>
      <c r="G29" s="1" t="s">
        <v>739</v>
      </c>
      <c r="H29" s="1" t="s">
        <v>740</v>
      </c>
      <c r="I29" s="1" t="s">
        <v>64</v>
      </c>
      <c r="J29" s="1" t="s">
        <v>55</v>
      </c>
      <c r="K29" s="1" t="s">
        <v>38</v>
      </c>
      <c r="L29" s="1" t="s">
        <v>39</v>
      </c>
      <c r="M29" s="2" t="s">
        <v>40</v>
      </c>
      <c r="N29" s="3">
        <v>770000</v>
      </c>
      <c r="O29" s="3" t="s">
        <v>41</v>
      </c>
      <c r="P29" s="1" t="s">
        <v>741</v>
      </c>
      <c r="Q29" s="1" t="s">
        <v>133</v>
      </c>
      <c r="R29" s="3" t="s">
        <v>123</v>
      </c>
      <c r="S29" s="3" t="s">
        <v>710</v>
      </c>
      <c r="T29" s="2">
        <v>42352</v>
      </c>
      <c r="U29" s="2">
        <v>42488</v>
      </c>
      <c r="V29" s="2">
        <v>42516</v>
      </c>
      <c r="W29" s="2">
        <v>42552</v>
      </c>
      <c r="X29" s="2">
        <v>42601</v>
      </c>
      <c r="Y29" s="3" t="s">
        <v>742</v>
      </c>
      <c r="Z29" s="3" t="s">
        <v>743</v>
      </c>
      <c r="AA29" s="3" t="s">
        <v>744</v>
      </c>
      <c r="AB29" s="2">
        <v>42601</v>
      </c>
      <c r="AC29" s="2">
        <v>48084</v>
      </c>
      <c r="AD29" s="2" t="s">
        <v>49</v>
      </c>
      <c r="AE29" s="2" t="s">
        <v>50</v>
      </c>
      <c r="AF29" s="2">
        <v>44110</v>
      </c>
      <c r="AG29" s="2">
        <v>44921</v>
      </c>
      <c r="AH29" s="14">
        <v>1206656.6000000001</v>
      </c>
      <c r="AI29" s="6">
        <v>1</v>
      </c>
      <c r="AJ29" s="71" t="str">
        <f>MID(D29,5,LEN(D29)-4)</f>
        <v>ACSU2</v>
      </c>
    </row>
    <row r="30" spans="1:36" ht="118.95" customHeight="1" x14ac:dyDescent="0.3">
      <c r="A30" s="1">
        <f t="shared" si="0"/>
        <v>188</v>
      </c>
      <c r="B30" cm="1">
        <f t="array" ref="B30">IFERROR(MAX(--_xlfn.TEXTSPLIT(C30,";")),0)</f>
        <v>26</v>
      </c>
      <c r="C30" t="s">
        <v>1771</v>
      </c>
      <c r="D30" s="59" t="s">
        <v>61</v>
      </c>
      <c r="E30" s="59" t="s">
        <v>746</v>
      </c>
      <c r="F30" s="1">
        <v>1</v>
      </c>
      <c r="G30" s="59" t="s">
        <v>62</v>
      </c>
      <c r="H30" s="1" t="s">
        <v>63</v>
      </c>
      <c r="I30" s="1" t="s">
        <v>64</v>
      </c>
      <c r="J30" s="1" t="s">
        <v>65</v>
      </c>
      <c r="K30" s="1" t="s">
        <v>38</v>
      </c>
      <c r="L30" s="1" t="s">
        <v>66</v>
      </c>
      <c r="M30" s="2" t="s">
        <v>40</v>
      </c>
      <c r="N30" s="3">
        <v>158980</v>
      </c>
      <c r="O30" s="3" t="s">
        <v>41</v>
      </c>
      <c r="P30" s="4" t="s">
        <v>67</v>
      </c>
      <c r="Q30" s="1" t="s">
        <v>43</v>
      </c>
      <c r="R30" s="3" t="s">
        <v>44</v>
      </c>
      <c r="S30" s="3" t="s">
        <v>68</v>
      </c>
      <c r="T30" s="2">
        <v>34639</v>
      </c>
      <c r="U30" s="2">
        <v>34870</v>
      </c>
      <c r="V30" s="2">
        <v>34900</v>
      </c>
      <c r="W30" s="2">
        <v>34929</v>
      </c>
      <c r="X30" s="2">
        <v>35056</v>
      </c>
      <c r="Y30" s="3" t="s">
        <v>69</v>
      </c>
      <c r="Z30" s="3" t="s">
        <v>70</v>
      </c>
      <c r="AA30" s="7" t="s">
        <v>71</v>
      </c>
      <c r="AB30" s="2">
        <v>35056</v>
      </c>
      <c r="AC30" s="2">
        <v>39438</v>
      </c>
      <c r="AD30" s="2" t="s">
        <v>49</v>
      </c>
      <c r="AE30" s="2" t="s">
        <v>50</v>
      </c>
      <c r="AF30" s="2">
        <v>35541</v>
      </c>
      <c r="AG30" s="2" t="s">
        <v>50</v>
      </c>
      <c r="AH30" s="5">
        <v>177301.90000000002</v>
      </c>
      <c r="AI30" s="6">
        <v>1</v>
      </c>
      <c r="AJ30" s="71" t="str">
        <f>MID(D30,5,LEN(D30)-4)</f>
        <v>ADAI1</v>
      </c>
    </row>
    <row r="31" spans="1:36" ht="118.95" customHeight="1" x14ac:dyDescent="0.3">
      <c r="A31" s="1">
        <f t="shared" si="0"/>
        <v>188</v>
      </c>
      <c r="B31" cm="1">
        <f t="array" ref="B31">IFERROR(MAX(--_xlfn.TEXTSPLIT(C31,";")),0)</f>
        <v>26</v>
      </c>
      <c r="C31" t="s">
        <v>1771</v>
      </c>
      <c r="D31" s="1" t="s">
        <v>488</v>
      </c>
      <c r="E31" s="59" t="s">
        <v>746</v>
      </c>
      <c r="F31" s="1">
        <v>2</v>
      </c>
      <c r="G31" s="1" t="s">
        <v>489</v>
      </c>
      <c r="H31" s="1" t="s">
        <v>490</v>
      </c>
      <c r="I31" s="1" t="s">
        <v>64</v>
      </c>
      <c r="J31" s="1" t="s">
        <v>65</v>
      </c>
      <c r="K31" s="1" t="s">
        <v>38</v>
      </c>
      <c r="L31" s="1" t="s">
        <v>39</v>
      </c>
      <c r="M31" s="2" t="s">
        <v>40</v>
      </c>
      <c r="N31" s="3">
        <v>371200</v>
      </c>
      <c r="O31" s="3" t="s">
        <v>41</v>
      </c>
      <c r="P31" s="1" t="s">
        <v>491</v>
      </c>
      <c r="Q31" s="1" t="s">
        <v>43</v>
      </c>
      <c r="R31" s="3" t="s">
        <v>123</v>
      </c>
      <c r="S31" s="3" t="s">
        <v>152</v>
      </c>
      <c r="T31" s="2">
        <v>39187</v>
      </c>
      <c r="U31" s="2">
        <v>39335</v>
      </c>
      <c r="V31" s="2">
        <v>39351</v>
      </c>
      <c r="W31" s="2">
        <v>39363</v>
      </c>
      <c r="X31" s="2">
        <v>39413</v>
      </c>
      <c r="Y31" s="3" t="s">
        <v>492</v>
      </c>
      <c r="Z31" s="3" t="s">
        <v>493</v>
      </c>
      <c r="AA31" s="3" t="s">
        <v>494</v>
      </c>
      <c r="AB31" s="2">
        <v>39413</v>
      </c>
      <c r="AC31" s="2">
        <v>41274</v>
      </c>
      <c r="AD31" s="2" t="s">
        <v>106</v>
      </c>
      <c r="AE31" s="2" t="s">
        <v>50</v>
      </c>
      <c r="AF31" s="2">
        <v>40311</v>
      </c>
      <c r="AG31" s="2">
        <v>40874</v>
      </c>
      <c r="AH31" s="5">
        <v>389830.19999999995</v>
      </c>
      <c r="AI31" s="6">
        <v>1</v>
      </c>
      <c r="AJ31" s="71" t="str">
        <f>MID(D31,5,LEN(D31)-4)</f>
        <v>ADAI2</v>
      </c>
    </row>
    <row r="32" spans="1:36" ht="118.95" customHeight="1" x14ac:dyDescent="0.3">
      <c r="A32" s="1">
        <f t="shared" si="0"/>
        <v>188</v>
      </c>
      <c r="B32" cm="1">
        <f t="array" ref="B32">IFERROR(MAX(--_xlfn.TEXTSPLIT(C32,";")),0)</f>
        <v>26</v>
      </c>
      <c r="C32" t="s">
        <v>1771</v>
      </c>
      <c r="D32" s="1" t="s">
        <v>635</v>
      </c>
      <c r="E32" s="59" t="s">
        <v>746</v>
      </c>
      <c r="F32" s="1">
        <v>3</v>
      </c>
      <c r="G32" s="1" t="s">
        <v>636</v>
      </c>
      <c r="H32" s="1" t="s">
        <v>637</v>
      </c>
      <c r="I32" s="1" t="s">
        <v>64</v>
      </c>
      <c r="J32" s="1" t="s">
        <v>65</v>
      </c>
      <c r="K32" s="1" t="s">
        <v>38</v>
      </c>
      <c r="L32" s="1" t="s">
        <v>39</v>
      </c>
      <c r="M32" s="2" t="s">
        <v>40</v>
      </c>
      <c r="N32" s="3">
        <v>109000</v>
      </c>
      <c r="O32" s="3" t="s">
        <v>41</v>
      </c>
      <c r="P32" s="1" t="s">
        <v>638</v>
      </c>
      <c r="Q32" s="1" t="s">
        <v>43</v>
      </c>
      <c r="R32" s="3" t="s">
        <v>123</v>
      </c>
      <c r="S32" s="3" t="s">
        <v>639</v>
      </c>
      <c r="T32" s="2">
        <v>40906</v>
      </c>
      <c r="U32" s="2">
        <v>41054</v>
      </c>
      <c r="V32" s="2">
        <v>41075</v>
      </c>
      <c r="W32" s="2">
        <v>41116</v>
      </c>
      <c r="X32" s="2">
        <v>41204</v>
      </c>
      <c r="Y32" s="3" t="s">
        <v>640</v>
      </c>
      <c r="Z32" s="3" t="s">
        <v>641</v>
      </c>
      <c r="AA32" s="3" t="s">
        <v>642</v>
      </c>
      <c r="AB32" s="2">
        <v>41204</v>
      </c>
      <c r="AC32" s="2">
        <v>43190</v>
      </c>
      <c r="AD32" s="2" t="s">
        <v>49</v>
      </c>
      <c r="AE32" s="2" t="s">
        <v>50</v>
      </c>
      <c r="AF32" s="2">
        <v>41989</v>
      </c>
      <c r="AG32" s="2">
        <v>42319</v>
      </c>
      <c r="AH32" s="5">
        <v>203418.64000000004</v>
      </c>
      <c r="AI32" s="6">
        <v>1</v>
      </c>
      <c r="AJ32" s="71" t="str">
        <f>MID(D32,5,LEN(D32)-4)</f>
        <v>ADAI3</v>
      </c>
    </row>
    <row r="33" spans="1:36" ht="118.95" customHeight="1" x14ac:dyDescent="0.3">
      <c r="A33" s="1">
        <f t="shared" si="0"/>
        <v>188</v>
      </c>
      <c r="B33" cm="1">
        <f t="array" ref="B33">IFERROR(MAX(--_xlfn.TEXTSPLIT(C33,";")),0)</f>
        <v>26</v>
      </c>
      <c r="C33" t="s">
        <v>1771</v>
      </c>
      <c r="D33" s="1" t="s">
        <v>745</v>
      </c>
      <c r="E33" s="59" t="s">
        <v>746</v>
      </c>
      <c r="F33" s="1">
        <v>4</v>
      </c>
      <c r="G33" s="1" t="s">
        <v>747</v>
      </c>
      <c r="H33" s="1" t="s">
        <v>748</v>
      </c>
      <c r="I33" s="1" t="s">
        <v>64</v>
      </c>
      <c r="J33" s="1" t="s">
        <v>65</v>
      </c>
      <c r="K33" s="1" t="s">
        <v>38</v>
      </c>
      <c r="L33" s="1" t="s">
        <v>39</v>
      </c>
      <c r="M33" s="2" t="s">
        <v>40</v>
      </c>
      <c r="N33" s="3">
        <v>1420000</v>
      </c>
      <c r="O33" s="3" t="s">
        <v>41</v>
      </c>
      <c r="P33" s="1" t="s">
        <v>749</v>
      </c>
      <c r="Q33" s="1" t="s">
        <v>133</v>
      </c>
      <c r="R33" s="3" t="s">
        <v>123</v>
      </c>
      <c r="S33" s="3" t="s">
        <v>152</v>
      </c>
      <c r="T33" s="2">
        <v>42452</v>
      </c>
      <c r="U33" s="2">
        <v>42843</v>
      </c>
      <c r="V33" s="2">
        <v>42873</v>
      </c>
      <c r="W33" s="2">
        <v>42940</v>
      </c>
      <c r="X33" s="2">
        <v>43020</v>
      </c>
      <c r="Y33" s="3" t="s">
        <v>750</v>
      </c>
      <c r="Z33" s="3" t="s">
        <v>751</v>
      </c>
      <c r="AA33" s="3" t="s">
        <v>752</v>
      </c>
      <c r="AB33" s="2">
        <v>43020</v>
      </c>
      <c r="AC33" s="2">
        <v>52150</v>
      </c>
      <c r="AD33" s="2" t="s">
        <v>106</v>
      </c>
      <c r="AE33" s="2">
        <v>43686</v>
      </c>
      <c r="AF33" s="2">
        <v>45530</v>
      </c>
      <c r="AG33" s="2" t="s">
        <v>531</v>
      </c>
      <c r="AH33" s="8">
        <v>2122435.1</v>
      </c>
      <c r="AI33" s="6">
        <v>1</v>
      </c>
      <c r="AJ33" s="71" t="str">
        <f>MID(D33,5,LEN(D33)-4)</f>
        <v>ADAI4</v>
      </c>
    </row>
    <row r="34" spans="1:36" ht="147.6" customHeight="1" x14ac:dyDescent="0.3">
      <c r="A34" s="1">
        <f t="shared" ref="A34:A65" si="1">MAX($B$2:$B$128)</f>
        <v>188</v>
      </c>
      <c r="B34" cm="1">
        <f t="array" ref="B34">IFERROR(MAX(--_xlfn.TEXTSPLIT(C34,";")),0)</f>
        <v>27</v>
      </c>
      <c r="C34" t="s">
        <v>1772</v>
      </c>
      <c r="D34" s="1" t="s">
        <v>180</v>
      </c>
      <c r="E34" s="1" t="s">
        <v>1855</v>
      </c>
      <c r="F34" s="1">
        <v>1</v>
      </c>
      <c r="G34" s="1" t="s">
        <v>181</v>
      </c>
      <c r="H34" s="1" t="s">
        <v>182</v>
      </c>
      <c r="I34" s="1" t="s">
        <v>64</v>
      </c>
      <c r="J34" s="1" t="s">
        <v>175</v>
      </c>
      <c r="K34" s="1" t="s">
        <v>38</v>
      </c>
      <c r="L34" s="1" t="s">
        <v>39</v>
      </c>
      <c r="M34" s="2" t="s">
        <v>40</v>
      </c>
      <c r="N34" s="3">
        <v>74294</v>
      </c>
      <c r="O34" s="3" t="s">
        <v>41</v>
      </c>
      <c r="P34" s="1" t="s">
        <v>183</v>
      </c>
      <c r="Q34" s="1" t="s">
        <v>43</v>
      </c>
      <c r="R34" s="3" t="s">
        <v>44</v>
      </c>
      <c r="S34" s="3" t="s">
        <v>124</v>
      </c>
      <c r="T34" s="2">
        <v>35416</v>
      </c>
      <c r="U34" s="2">
        <v>35578</v>
      </c>
      <c r="V34" s="2">
        <v>35608</v>
      </c>
      <c r="W34" s="2">
        <v>35661</v>
      </c>
      <c r="X34" s="2">
        <v>35746</v>
      </c>
      <c r="Y34" s="3" t="s">
        <v>184</v>
      </c>
      <c r="Z34" s="3" t="s">
        <v>185</v>
      </c>
      <c r="AA34" s="3" t="s">
        <v>186</v>
      </c>
      <c r="AB34" s="2">
        <v>35813</v>
      </c>
      <c r="AC34" s="2">
        <v>41282</v>
      </c>
      <c r="AD34" s="2" t="s">
        <v>49</v>
      </c>
      <c r="AE34" s="2" t="s">
        <v>50</v>
      </c>
      <c r="AF34" s="2">
        <v>36144</v>
      </c>
      <c r="AG34" s="2">
        <v>36392</v>
      </c>
      <c r="AH34" s="5">
        <v>123739.53</v>
      </c>
      <c r="AI34" s="6">
        <v>1</v>
      </c>
      <c r="AJ34" s="71" t="str">
        <f>MID(D34,5,LEN(D34)-4)</f>
        <v>ALFS1</v>
      </c>
    </row>
    <row r="35" spans="1:36" ht="118.95" customHeight="1" x14ac:dyDescent="0.3">
      <c r="A35" s="1">
        <f t="shared" si="1"/>
        <v>188</v>
      </c>
      <c r="B35" cm="1">
        <f t="array" ref="B35">IFERROR(MAX(--_xlfn.TEXTSPLIT(C35,";")),0)</f>
        <v>27</v>
      </c>
      <c r="C35" t="s">
        <v>1772</v>
      </c>
      <c r="D35" s="1" t="s">
        <v>643</v>
      </c>
      <c r="E35" s="1" t="s">
        <v>1855</v>
      </c>
      <c r="F35" s="1">
        <v>2</v>
      </c>
      <c r="G35" s="1" t="s">
        <v>644</v>
      </c>
      <c r="H35" s="1" t="s">
        <v>645</v>
      </c>
      <c r="I35" s="1" t="s">
        <v>64</v>
      </c>
      <c r="J35" s="1" t="s">
        <v>175</v>
      </c>
      <c r="K35" s="1" t="s">
        <v>38</v>
      </c>
      <c r="L35" s="1" t="s">
        <v>39</v>
      </c>
      <c r="M35" s="2" t="s">
        <v>40</v>
      </c>
      <c r="N35" s="3">
        <v>174000</v>
      </c>
      <c r="O35" s="3" t="s">
        <v>41</v>
      </c>
      <c r="P35" s="1" t="s">
        <v>646</v>
      </c>
      <c r="Q35" s="1" t="s">
        <v>43</v>
      </c>
      <c r="R35" s="3" t="s">
        <v>123</v>
      </c>
      <c r="S35" s="3" t="s">
        <v>152</v>
      </c>
      <c r="T35" s="2">
        <v>40906</v>
      </c>
      <c r="U35" s="2">
        <v>41088</v>
      </c>
      <c r="V35" s="2">
        <v>41109</v>
      </c>
      <c r="W35" s="2">
        <v>41173</v>
      </c>
      <c r="X35" s="2">
        <v>41255</v>
      </c>
      <c r="Y35" s="3" t="s">
        <v>647</v>
      </c>
      <c r="Z35" s="3" t="s">
        <v>648</v>
      </c>
      <c r="AA35" s="3" t="s">
        <v>649</v>
      </c>
      <c r="AB35" s="2">
        <v>41255</v>
      </c>
      <c r="AC35" s="2">
        <v>44500</v>
      </c>
      <c r="AD35" s="2" t="s">
        <v>49</v>
      </c>
      <c r="AE35" s="2" t="s">
        <v>50</v>
      </c>
      <c r="AF35" s="2">
        <v>42136</v>
      </c>
      <c r="AG35" s="2">
        <v>42423</v>
      </c>
      <c r="AH35" s="5">
        <v>411624.01999999996</v>
      </c>
      <c r="AI35" s="6">
        <v>1</v>
      </c>
      <c r="AJ35" s="71" t="str">
        <f>MID(D35,5,LEN(D35)-4)</f>
        <v>ALFS2</v>
      </c>
    </row>
    <row r="36" spans="1:36" ht="118.95" customHeight="1" x14ac:dyDescent="0.3">
      <c r="A36" s="1">
        <f t="shared" si="1"/>
        <v>188</v>
      </c>
      <c r="B36" cm="1">
        <f t="array" ref="B36">IFERROR(MAX(--_xlfn.TEXTSPLIT(C36,";")),0)</f>
        <v>27</v>
      </c>
      <c r="C36" t="s">
        <v>1772</v>
      </c>
      <c r="D36" s="1" t="s">
        <v>856</v>
      </c>
      <c r="E36" s="1" t="s">
        <v>1855</v>
      </c>
      <c r="F36" s="1">
        <v>3</v>
      </c>
      <c r="G36" s="1" t="s">
        <v>857</v>
      </c>
      <c r="H36" s="1" t="s">
        <v>858</v>
      </c>
      <c r="I36" s="1" t="s">
        <v>64</v>
      </c>
      <c r="J36" s="1" t="s">
        <v>175</v>
      </c>
      <c r="K36" s="1" t="s">
        <v>38</v>
      </c>
      <c r="L36" s="1" t="s">
        <v>39</v>
      </c>
      <c r="M36" s="2" t="s">
        <v>40</v>
      </c>
      <c r="N36" s="3">
        <v>1415000</v>
      </c>
      <c r="O36" s="3" t="s">
        <v>41</v>
      </c>
      <c r="P36" s="1" t="s">
        <v>859</v>
      </c>
      <c r="Q36" s="1" t="s">
        <v>662</v>
      </c>
      <c r="R36" s="3" t="s">
        <v>44</v>
      </c>
      <c r="S36" s="3" t="s">
        <v>152</v>
      </c>
      <c r="T36" s="2">
        <v>43796</v>
      </c>
      <c r="U36" s="2">
        <v>44225</v>
      </c>
      <c r="V36" s="2">
        <v>44260</v>
      </c>
      <c r="W36" s="2">
        <v>44316</v>
      </c>
      <c r="X36" s="2">
        <v>44419</v>
      </c>
      <c r="Y36" s="3" t="s">
        <v>860</v>
      </c>
      <c r="Z36" s="3" t="s">
        <v>861</v>
      </c>
      <c r="AA36" s="3" t="s">
        <v>862</v>
      </c>
      <c r="AB36" s="2">
        <v>44419</v>
      </c>
      <c r="AC36" s="2">
        <v>48679</v>
      </c>
      <c r="AD36" s="2" t="s">
        <v>106</v>
      </c>
      <c r="AE36" s="2">
        <v>45533</v>
      </c>
      <c r="AF36" s="2" t="s">
        <v>697</v>
      </c>
      <c r="AG36" s="2" t="s">
        <v>697</v>
      </c>
      <c r="AH36" s="5">
        <v>1415000</v>
      </c>
      <c r="AI36" s="15">
        <v>0.13500000000000001</v>
      </c>
      <c r="AJ36" s="71" t="str">
        <f>MID(D36,5,LEN(D36)-4)</f>
        <v>ALFS3</v>
      </c>
    </row>
    <row r="37" spans="1:36" ht="118.95" customHeight="1" x14ac:dyDescent="0.3">
      <c r="A37" s="1">
        <f t="shared" si="1"/>
        <v>188</v>
      </c>
      <c r="B37" cm="1">
        <f t="array" ref="B37">IFERROR(MAX(--_xlfn.TEXTSPLIT(C37,";")),0)</f>
        <v>28</v>
      </c>
      <c r="C37" t="s">
        <v>1773</v>
      </c>
      <c r="D37" s="1" t="s">
        <v>187</v>
      </c>
      <c r="E37" s="1" t="s">
        <v>585</v>
      </c>
      <c r="F37" s="1">
        <v>1</v>
      </c>
      <c r="G37" s="1" t="s">
        <v>188</v>
      </c>
      <c r="H37" s="1" t="s">
        <v>189</v>
      </c>
      <c r="I37" s="1" t="s">
        <v>64</v>
      </c>
      <c r="J37" s="1" t="s">
        <v>190</v>
      </c>
      <c r="K37" s="1" t="s">
        <v>38</v>
      </c>
      <c r="L37" s="1" t="s">
        <v>66</v>
      </c>
      <c r="M37" s="2" t="s">
        <v>40</v>
      </c>
      <c r="N37" s="3">
        <v>70800</v>
      </c>
      <c r="O37" s="3" t="s">
        <v>41</v>
      </c>
      <c r="P37" s="1" t="s">
        <v>191</v>
      </c>
      <c r="Q37" s="1" t="s">
        <v>43</v>
      </c>
      <c r="R37" s="3" t="s">
        <v>44</v>
      </c>
      <c r="S37" s="3" t="s">
        <v>143</v>
      </c>
      <c r="T37" s="2">
        <v>35485</v>
      </c>
      <c r="U37" s="2">
        <v>35635</v>
      </c>
      <c r="V37" s="2">
        <v>35664</v>
      </c>
      <c r="W37" s="2">
        <v>35717</v>
      </c>
      <c r="X37" s="2">
        <v>35900</v>
      </c>
      <c r="Y37" s="3" t="s">
        <v>192</v>
      </c>
      <c r="Z37" s="3" t="s">
        <v>193</v>
      </c>
      <c r="AA37" s="3" t="s">
        <v>194</v>
      </c>
      <c r="AB37" s="2">
        <v>35958</v>
      </c>
      <c r="AC37" s="2">
        <v>40644</v>
      </c>
      <c r="AD37" s="2" t="s">
        <v>49</v>
      </c>
      <c r="AE37" s="2" t="s">
        <v>50</v>
      </c>
      <c r="AF37" s="2">
        <v>36454</v>
      </c>
      <c r="AG37" s="2">
        <v>36648</v>
      </c>
      <c r="AH37" s="5">
        <v>127418.93</v>
      </c>
      <c r="AI37" s="6">
        <v>1</v>
      </c>
      <c r="AJ37" s="71" t="str">
        <f>MID(D37,5,LEN(D37)-4)</f>
        <v>ALOA1</v>
      </c>
    </row>
    <row r="38" spans="1:36" ht="118.95" customHeight="1" x14ac:dyDescent="0.3">
      <c r="A38" s="1">
        <f t="shared" si="1"/>
        <v>188</v>
      </c>
      <c r="B38" cm="1">
        <f t="array" ref="B38">IFERROR(MAX(--_xlfn.TEXTSPLIT(C38,";")),0)</f>
        <v>28</v>
      </c>
      <c r="C38" t="s">
        <v>1773</v>
      </c>
      <c r="D38" s="1" t="s">
        <v>584</v>
      </c>
      <c r="E38" s="1" t="s">
        <v>585</v>
      </c>
      <c r="F38" s="1">
        <v>2</v>
      </c>
      <c r="G38" s="1" t="s">
        <v>586</v>
      </c>
      <c r="H38" s="1" t="s">
        <v>587</v>
      </c>
      <c r="I38" s="1" t="s">
        <v>64</v>
      </c>
      <c r="J38" s="1" t="s">
        <v>190</v>
      </c>
      <c r="K38" s="1" t="s">
        <v>38</v>
      </c>
      <c r="L38" s="1" t="s">
        <v>39</v>
      </c>
      <c r="M38" s="2" t="s">
        <v>40</v>
      </c>
      <c r="N38" s="3">
        <v>880000</v>
      </c>
      <c r="O38" s="3" t="s">
        <v>41</v>
      </c>
      <c r="P38" s="1" t="s">
        <v>588</v>
      </c>
      <c r="Q38" s="1" t="s">
        <v>43</v>
      </c>
      <c r="R38" s="3" t="s">
        <v>123</v>
      </c>
      <c r="S38" s="3" t="s">
        <v>484</v>
      </c>
      <c r="T38" s="2">
        <v>40186</v>
      </c>
      <c r="U38" s="2">
        <v>40465</v>
      </c>
      <c r="V38" s="2">
        <v>40493</v>
      </c>
      <c r="W38" s="2">
        <v>40564</v>
      </c>
      <c r="X38" s="2">
        <v>40619</v>
      </c>
      <c r="Y38" s="3" t="s">
        <v>589</v>
      </c>
      <c r="Z38" s="3" t="s">
        <v>590</v>
      </c>
      <c r="AA38" s="3" t="s">
        <v>591</v>
      </c>
      <c r="AB38" s="2">
        <v>40619</v>
      </c>
      <c r="AC38" s="2">
        <v>45199</v>
      </c>
      <c r="AD38" s="2" t="s">
        <v>49</v>
      </c>
      <c r="AE38" s="2">
        <v>41210</v>
      </c>
      <c r="AF38" s="2">
        <v>41897</v>
      </c>
      <c r="AG38" s="2">
        <v>42129</v>
      </c>
      <c r="AH38" s="5">
        <v>1214481.3400000001</v>
      </c>
      <c r="AI38" s="6">
        <v>1</v>
      </c>
      <c r="AJ38" s="71" t="str">
        <f>MID(D38,5,LEN(D38)-4)</f>
        <v>ALOA2</v>
      </c>
    </row>
    <row r="39" spans="1:36" ht="118.95" customHeight="1" x14ac:dyDescent="0.3">
      <c r="A39" s="1">
        <f t="shared" si="1"/>
        <v>188</v>
      </c>
      <c r="B39" cm="1">
        <f t="array" ref="B39">IFERROR(MAX(--_xlfn.TEXTSPLIT(C39,";")),0)</f>
        <v>28</v>
      </c>
      <c r="C39" t="s">
        <v>1773</v>
      </c>
      <c r="D39" s="1" t="s">
        <v>924</v>
      </c>
      <c r="E39" s="1" t="s">
        <v>585</v>
      </c>
      <c r="F39" s="1">
        <v>3</v>
      </c>
      <c r="G39" s="1" t="s">
        <v>925</v>
      </c>
      <c r="H39" s="1" t="s">
        <v>926</v>
      </c>
      <c r="I39" s="1" t="s">
        <v>64</v>
      </c>
      <c r="J39" s="1" t="s">
        <v>190</v>
      </c>
      <c r="K39" s="1" t="s">
        <v>38</v>
      </c>
      <c r="L39" s="1" t="s">
        <v>39</v>
      </c>
      <c r="M39" s="2" t="s">
        <v>40</v>
      </c>
      <c r="N39" s="3">
        <v>2650000</v>
      </c>
      <c r="O39" s="3" t="s">
        <v>41</v>
      </c>
      <c r="P39" s="1" t="s">
        <v>927</v>
      </c>
      <c r="Q39" s="1" t="s">
        <v>133</v>
      </c>
      <c r="R39" s="3" t="s">
        <v>44</v>
      </c>
      <c r="S39" s="3" t="s">
        <v>152</v>
      </c>
      <c r="T39" s="2">
        <v>44431</v>
      </c>
      <c r="U39" s="2">
        <v>45030</v>
      </c>
      <c r="V39" s="2">
        <v>45058</v>
      </c>
      <c r="W39" s="2">
        <v>45139</v>
      </c>
      <c r="X39" s="2">
        <v>45197</v>
      </c>
      <c r="Y39" s="3" t="s">
        <v>928</v>
      </c>
      <c r="Z39" s="19" t="s">
        <v>929</v>
      </c>
      <c r="AA39" s="3" t="s">
        <v>930</v>
      </c>
      <c r="AB39" s="2">
        <v>45227</v>
      </c>
      <c r="AC39" s="2">
        <v>54694</v>
      </c>
      <c r="AD39" s="2" t="s">
        <v>106</v>
      </c>
      <c r="AE39" s="2" t="s">
        <v>855</v>
      </c>
      <c r="AF39" s="2" t="s">
        <v>931</v>
      </c>
      <c r="AG39" s="2" t="s">
        <v>531</v>
      </c>
      <c r="AH39" s="8">
        <v>2650000</v>
      </c>
      <c r="AI39" s="6">
        <v>0</v>
      </c>
      <c r="AJ39" s="71" t="str">
        <f>MID(D39,5,LEN(D39)-4)</f>
        <v>ALOA3</v>
      </c>
    </row>
    <row r="40" spans="1:36" ht="118.95" customHeight="1" x14ac:dyDescent="0.3">
      <c r="A40" s="1">
        <f t="shared" si="1"/>
        <v>188</v>
      </c>
      <c r="B40" cm="1">
        <f t="array" ref="B40">IFERROR(MAX(--_xlfn.TEXTSPLIT(C40,";")),0)</f>
        <v>31</v>
      </c>
      <c r="C40" t="s">
        <v>1774</v>
      </c>
      <c r="D40" s="1" t="s">
        <v>107</v>
      </c>
      <c r="E40" s="1" t="s">
        <v>108</v>
      </c>
      <c r="F40" s="1">
        <v>1</v>
      </c>
      <c r="G40" s="1" t="s">
        <v>109</v>
      </c>
      <c r="H40" s="1" t="s">
        <v>110</v>
      </c>
      <c r="I40" s="1" t="s">
        <v>111</v>
      </c>
      <c r="J40" s="1" t="s">
        <v>112</v>
      </c>
      <c r="K40" s="1" t="s">
        <v>38</v>
      </c>
      <c r="L40" s="1" t="s">
        <v>66</v>
      </c>
      <c r="M40" s="2" t="s">
        <v>40</v>
      </c>
      <c r="N40" s="3">
        <v>279990</v>
      </c>
      <c r="O40" s="3" t="s">
        <v>41</v>
      </c>
      <c r="P40" s="4" t="s">
        <v>113</v>
      </c>
      <c r="Q40" s="1" t="s">
        <v>43</v>
      </c>
      <c r="R40" s="3" t="s">
        <v>44</v>
      </c>
      <c r="S40" s="3" t="s">
        <v>114</v>
      </c>
      <c r="T40" s="2">
        <v>34881</v>
      </c>
      <c r="U40" s="2">
        <v>34954</v>
      </c>
      <c r="V40" s="2">
        <v>34999</v>
      </c>
      <c r="W40" s="2">
        <v>35076</v>
      </c>
      <c r="X40" s="2">
        <v>35132</v>
      </c>
      <c r="Y40" s="3" t="s">
        <v>115</v>
      </c>
      <c r="Z40" s="3" t="s">
        <v>116</v>
      </c>
      <c r="AA40" s="3" t="s">
        <v>117</v>
      </c>
      <c r="AB40" s="2">
        <v>35159</v>
      </c>
      <c r="AC40" s="2">
        <v>39742</v>
      </c>
      <c r="AD40" s="2" t="s">
        <v>49</v>
      </c>
      <c r="AE40" s="2" t="s">
        <v>50</v>
      </c>
      <c r="AF40" s="2" t="s">
        <v>50</v>
      </c>
      <c r="AG40" s="2" t="s">
        <v>50</v>
      </c>
      <c r="AH40" s="5">
        <v>349331.12000000005</v>
      </c>
      <c r="AI40" s="6">
        <v>1</v>
      </c>
      <c r="AJ40" s="71" t="str">
        <f>MID(D40,5,LEN(D40)-4)</f>
        <v>AVAM1</v>
      </c>
    </row>
    <row r="41" spans="1:36" ht="180" customHeight="1" x14ac:dyDescent="0.3">
      <c r="A41" s="1">
        <f t="shared" si="1"/>
        <v>188</v>
      </c>
      <c r="B41" cm="1">
        <f t="array" ref="B41">IFERROR(MAX(--_xlfn.TEXTSPLIT(C41,";")),0)</f>
        <v>31</v>
      </c>
      <c r="C41" t="s">
        <v>1774</v>
      </c>
      <c r="D41" s="1" t="s">
        <v>524</v>
      </c>
      <c r="E41" s="1" t="s">
        <v>108</v>
      </c>
      <c r="F41" s="1">
        <v>2</v>
      </c>
      <c r="G41" s="1" t="s">
        <v>525</v>
      </c>
      <c r="H41" s="1" t="s">
        <v>526</v>
      </c>
      <c r="I41" s="1" t="s">
        <v>111</v>
      </c>
      <c r="J41" s="1" t="s">
        <v>112</v>
      </c>
      <c r="K41" s="1" t="s">
        <v>38</v>
      </c>
      <c r="L41" s="1" t="s">
        <v>39</v>
      </c>
      <c r="M41" s="2" t="s">
        <v>40</v>
      </c>
      <c r="N41" s="3">
        <v>1500000</v>
      </c>
      <c r="O41" s="3" t="s">
        <v>41</v>
      </c>
      <c r="P41" s="1" t="s">
        <v>527</v>
      </c>
      <c r="Q41" s="1" t="s">
        <v>133</v>
      </c>
      <c r="R41" s="3" t="s">
        <v>123</v>
      </c>
      <c r="S41" s="3" t="s">
        <v>152</v>
      </c>
      <c r="T41" s="2">
        <v>39452</v>
      </c>
      <c r="U41" s="2">
        <v>39609</v>
      </c>
      <c r="V41" s="2">
        <v>39633</v>
      </c>
      <c r="W41" s="2">
        <v>39650</v>
      </c>
      <c r="X41" s="2">
        <v>39703</v>
      </c>
      <c r="Y41" s="3" t="s">
        <v>528</v>
      </c>
      <c r="Z41" s="3" t="s">
        <v>529</v>
      </c>
      <c r="AA41" s="3" t="s">
        <v>530</v>
      </c>
      <c r="AB41" s="2">
        <v>39703</v>
      </c>
      <c r="AC41" s="2">
        <v>54312</v>
      </c>
      <c r="AD41" s="2" t="s">
        <v>106</v>
      </c>
      <c r="AE41" s="2">
        <v>44364</v>
      </c>
      <c r="AF41" s="2">
        <v>45121</v>
      </c>
      <c r="AG41" s="2" t="s">
        <v>531</v>
      </c>
      <c r="AH41" s="8">
        <v>1795538.8</v>
      </c>
      <c r="AI41" s="6">
        <v>1</v>
      </c>
      <c r="AJ41" s="71" t="str">
        <f>MID(D41,5,LEN(D41)-4)</f>
        <v>AVAM2</v>
      </c>
    </row>
    <row r="42" spans="1:36" ht="118.95" customHeight="1" x14ac:dyDescent="0.3">
      <c r="A42" s="1">
        <f t="shared" si="1"/>
        <v>188</v>
      </c>
      <c r="B42" cm="1">
        <f t="array" ref="B42">IFERROR(MAX(--_xlfn.TEXTSPLIT(C42,";")),0)</f>
        <v>32</v>
      </c>
      <c r="C42" t="s">
        <v>1775</v>
      </c>
      <c r="D42" s="1" t="s">
        <v>341</v>
      </c>
      <c r="E42" s="1" t="s">
        <v>1856</v>
      </c>
      <c r="F42" s="1">
        <v>1</v>
      </c>
      <c r="G42" s="1" t="s">
        <v>342</v>
      </c>
      <c r="H42" s="1" t="s">
        <v>343</v>
      </c>
      <c r="I42" s="1" t="s">
        <v>64</v>
      </c>
      <c r="J42" s="1" t="s">
        <v>344</v>
      </c>
      <c r="K42" s="1" t="s">
        <v>38</v>
      </c>
      <c r="L42" s="1" t="s">
        <v>39</v>
      </c>
      <c r="M42" s="2" t="s">
        <v>40</v>
      </c>
      <c r="N42" s="3">
        <v>1000574</v>
      </c>
      <c r="O42" s="3" t="s">
        <v>41</v>
      </c>
      <c r="P42" s="1" t="s">
        <v>345</v>
      </c>
      <c r="Q42" s="1" t="s">
        <v>43</v>
      </c>
      <c r="R42" s="3" t="s">
        <v>123</v>
      </c>
      <c r="S42" s="3" t="s">
        <v>301</v>
      </c>
      <c r="T42" s="2">
        <v>37173</v>
      </c>
      <c r="U42" s="2">
        <v>37376</v>
      </c>
      <c r="V42" s="2">
        <v>37407</v>
      </c>
      <c r="W42" s="2">
        <v>37460</v>
      </c>
      <c r="X42" s="2">
        <v>37532</v>
      </c>
      <c r="Y42" s="3" t="s">
        <v>346</v>
      </c>
      <c r="Z42" s="3" t="s">
        <v>347</v>
      </c>
      <c r="AA42" s="3" t="s">
        <v>348</v>
      </c>
      <c r="AB42" s="2">
        <v>37532</v>
      </c>
      <c r="AC42" s="2">
        <v>45680</v>
      </c>
      <c r="AD42" s="2" t="s">
        <v>49</v>
      </c>
      <c r="AE42" s="2" t="s">
        <v>50</v>
      </c>
      <c r="AF42" s="2">
        <v>38380</v>
      </c>
      <c r="AG42" s="2">
        <v>38622</v>
      </c>
      <c r="AH42" s="5">
        <v>919407.34</v>
      </c>
      <c r="AI42" s="6">
        <v>1</v>
      </c>
      <c r="AJ42" s="71" t="str">
        <f>MID(D42,5,LEN(D42)-4)</f>
        <v>ARAT1</v>
      </c>
    </row>
    <row r="43" spans="1:36" ht="118.95" customHeight="1" x14ac:dyDescent="0.3">
      <c r="A43" s="1">
        <f t="shared" si="1"/>
        <v>188</v>
      </c>
      <c r="B43" cm="1">
        <f t="array" ref="B43">IFERROR(MAX(--_xlfn.TEXTSPLIT(C43,";")),0)</f>
        <v>32</v>
      </c>
      <c r="C43" t="s">
        <v>1776</v>
      </c>
      <c r="D43" s="1" t="s">
        <v>990</v>
      </c>
      <c r="E43" s="1" t="s">
        <v>991</v>
      </c>
      <c r="F43" s="1">
        <v>1</v>
      </c>
      <c r="G43" s="1" t="s">
        <v>992</v>
      </c>
      <c r="H43" s="1" t="s">
        <v>993</v>
      </c>
      <c r="I43" s="1" t="s">
        <v>64</v>
      </c>
      <c r="J43" s="1" t="s">
        <v>994</v>
      </c>
      <c r="K43" s="1" t="s">
        <v>38</v>
      </c>
      <c r="L43" s="1" t="s">
        <v>39</v>
      </c>
      <c r="M43" s="2"/>
      <c r="N43" s="26">
        <v>7012000</v>
      </c>
      <c r="O43" s="1" t="s">
        <v>41</v>
      </c>
      <c r="P43" s="4" t="s">
        <v>995</v>
      </c>
      <c r="Q43" s="1" t="s">
        <v>662</v>
      </c>
      <c r="R43" s="3" t="s">
        <v>44</v>
      </c>
      <c r="S43" s="3" t="s">
        <v>152</v>
      </c>
      <c r="T43" s="2">
        <v>45289</v>
      </c>
      <c r="U43" s="2">
        <v>45483</v>
      </c>
      <c r="V43" s="2">
        <v>45506</v>
      </c>
      <c r="W43" s="2">
        <v>45569</v>
      </c>
      <c r="X43" s="2">
        <v>45609</v>
      </c>
      <c r="Y43" s="1" t="s">
        <v>996</v>
      </c>
      <c r="Z43" s="1" t="s">
        <v>997</v>
      </c>
      <c r="AA43" s="7" t="s">
        <v>998</v>
      </c>
      <c r="AB43" s="2">
        <v>45609</v>
      </c>
      <c r="AC43" s="2">
        <v>55105</v>
      </c>
      <c r="AD43" s="2" t="s">
        <v>106</v>
      </c>
      <c r="AE43" s="1" t="s">
        <v>855</v>
      </c>
      <c r="AF43" s="1" t="s">
        <v>697</v>
      </c>
      <c r="AG43" s="1" t="s">
        <v>697</v>
      </c>
      <c r="AH43" s="22">
        <v>7012000</v>
      </c>
      <c r="AI43" s="23">
        <v>0</v>
      </c>
      <c r="AJ43" s="71" t="str">
        <f>MID(D43,5,LEN(D43)-4)</f>
        <v>ARNO1</v>
      </c>
    </row>
    <row r="44" spans="1:36" ht="118.95" customHeight="1" x14ac:dyDescent="0.3">
      <c r="A44" s="1">
        <f t="shared" si="1"/>
        <v>188</v>
      </c>
      <c r="B44" cm="1">
        <f t="array" ref="B44">IFERROR(MAX(--_xlfn.TEXTSPLIT(C44,";")),0)</f>
        <v>33</v>
      </c>
      <c r="C44" t="s">
        <v>1777</v>
      </c>
      <c r="D44" s="1" t="s">
        <v>72</v>
      </c>
      <c r="E44" s="1" t="s">
        <v>809</v>
      </c>
      <c r="F44" s="1">
        <v>1</v>
      </c>
      <c r="G44" s="1" t="s">
        <v>73</v>
      </c>
      <c r="H44" s="1" t="s">
        <v>74</v>
      </c>
      <c r="I44" s="1" t="s">
        <v>64</v>
      </c>
      <c r="J44" s="1" t="s">
        <v>75</v>
      </c>
      <c r="K44" s="1" t="s">
        <v>38</v>
      </c>
      <c r="L44" s="1" t="s">
        <v>66</v>
      </c>
      <c r="M44" s="2" t="s">
        <v>40</v>
      </c>
      <c r="N44" s="3">
        <v>164021</v>
      </c>
      <c r="O44" s="3" t="s">
        <v>41</v>
      </c>
      <c r="P44" s="4" t="s">
        <v>76</v>
      </c>
      <c r="Q44" s="1" t="s">
        <v>43</v>
      </c>
      <c r="R44" s="3" t="s">
        <v>44</v>
      </c>
      <c r="S44" s="3" t="s">
        <v>68</v>
      </c>
      <c r="T44" s="2">
        <v>34639</v>
      </c>
      <c r="U44" s="2">
        <v>34762</v>
      </c>
      <c r="V44" s="2">
        <v>34838</v>
      </c>
      <c r="W44" s="2">
        <v>34880</v>
      </c>
      <c r="X44" s="2">
        <v>35003</v>
      </c>
      <c r="Y44" s="3" t="s">
        <v>77</v>
      </c>
      <c r="Z44" s="3" t="s">
        <v>78</v>
      </c>
      <c r="AA44" s="3" t="s">
        <v>79</v>
      </c>
      <c r="AB44" s="2">
        <v>35114</v>
      </c>
      <c r="AC44" s="2">
        <v>39496</v>
      </c>
      <c r="AD44" s="2" t="s">
        <v>49</v>
      </c>
      <c r="AE44" s="2" t="s">
        <v>50</v>
      </c>
      <c r="AF44" s="2" t="s">
        <v>50</v>
      </c>
      <c r="AG44" s="2" t="s">
        <v>50</v>
      </c>
      <c r="AH44" s="5">
        <v>205506.48</v>
      </c>
      <c r="AI44" s="6">
        <v>1</v>
      </c>
      <c r="AJ44" s="71" t="str">
        <f>MID(D44,5,LEN(D44)-4)</f>
        <v>ATEP1</v>
      </c>
    </row>
    <row r="45" spans="1:36" ht="118.95" customHeight="1" x14ac:dyDescent="0.3">
      <c r="A45" s="1">
        <f t="shared" si="1"/>
        <v>188</v>
      </c>
      <c r="B45" cm="1">
        <f t="array" ref="B45">IFERROR(MAX(--_xlfn.TEXTSPLIT(C45,";")),0)</f>
        <v>33</v>
      </c>
      <c r="C45" t="s">
        <v>1777</v>
      </c>
      <c r="D45" s="1" t="s">
        <v>495</v>
      </c>
      <c r="E45" s="1" t="s">
        <v>809</v>
      </c>
      <c r="F45" s="1">
        <v>2</v>
      </c>
      <c r="G45" s="1" t="s">
        <v>496</v>
      </c>
      <c r="H45" s="1" t="s">
        <v>497</v>
      </c>
      <c r="I45" s="1" t="s">
        <v>64</v>
      </c>
      <c r="J45" s="1" t="s">
        <v>75</v>
      </c>
      <c r="K45" s="1" t="s">
        <v>38</v>
      </c>
      <c r="L45" s="1" t="s">
        <v>39</v>
      </c>
      <c r="M45" s="2" t="s">
        <v>40</v>
      </c>
      <c r="N45" s="3">
        <v>441300</v>
      </c>
      <c r="O45" s="3" t="s">
        <v>41</v>
      </c>
      <c r="P45" s="1" t="s">
        <v>498</v>
      </c>
      <c r="Q45" s="1" t="s">
        <v>43</v>
      </c>
      <c r="R45" s="3" t="s">
        <v>123</v>
      </c>
      <c r="S45" s="3" t="s">
        <v>152</v>
      </c>
      <c r="T45" s="2">
        <v>39208</v>
      </c>
      <c r="U45" s="2">
        <v>39350</v>
      </c>
      <c r="V45" s="2">
        <v>39373</v>
      </c>
      <c r="W45" s="2">
        <v>39393</v>
      </c>
      <c r="X45" s="2">
        <v>39475</v>
      </c>
      <c r="Y45" s="3" t="s">
        <v>499</v>
      </c>
      <c r="Z45" s="3" t="s">
        <v>500</v>
      </c>
      <c r="AA45" s="3" t="s">
        <v>501</v>
      </c>
      <c r="AB45" s="2">
        <v>39475</v>
      </c>
      <c r="AC45" s="2">
        <v>41759</v>
      </c>
      <c r="AD45" s="2" t="s">
        <v>106</v>
      </c>
      <c r="AE45" s="2" t="s">
        <v>50</v>
      </c>
      <c r="AF45" s="2">
        <v>40260</v>
      </c>
      <c r="AG45" s="2">
        <v>40492</v>
      </c>
      <c r="AH45" s="5">
        <v>594173.75</v>
      </c>
      <c r="AI45" s="6">
        <v>1</v>
      </c>
      <c r="AJ45" s="71" t="str">
        <f>MID(D45,5,LEN(D45)-4)</f>
        <v>ATEP2</v>
      </c>
    </row>
    <row r="46" spans="1:36" ht="168.6" customHeight="1" x14ac:dyDescent="0.3">
      <c r="A46" s="1">
        <f t="shared" si="1"/>
        <v>188</v>
      </c>
      <c r="B46" cm="1">
        <f t="array" ref="B46">IFERROR(MAX(--_xlfn.TEXTSPLIT(C46,";")),0)</f>
        <v>33</v>
      </c>
      <c r="C46" t="s">
        <v>1777</v>
      </c>
      <c r="D46" s="1" t="s">
        <v>681</v>
      </c>
      <c r="E46" s="1" t="s">
        <v>809</v>
      </c>
      <c r="F46" s="1">
        <v>3</v>
      </c>
      <c r="G46" s="1" t="s">
        <v>682</v>
      </c>
      <c r="H46" s="1" t="s">
        <v>683</v>
      </c>
      <c r="I46" s="1" t="s">
        <v>64</v>
      </c>
      <c r="J46" s="1" t="s">
        <v>75</v>
      </c>
      <c r="K46" s="1" t="s">
        <v>38</v>
      </c>
      <c r="L46" s="1" t="s">
        <v>39</v>
      </c>
      <c r="M46" s="2" t="s">
        <v>40</v>
      </c>
      <c r="N46" s="3">
        <v>92000</v>
      </c>
      <c r="O46" s="3" t="s">
        <v>41</v>
      </c>
      <c r="P46" s="1" t="s">
        <v>684</v>
      </c>
      <c r="Q46" s="1" t="s">
        <v>43</v>
      </c>
      <c r="R46" s="3" t="s">
        <v>123</v>
      </c>
      <c r="S46" s="3" t="s">
        <v>639</v>
      </c>
      <c r="T46" s="2">
        <v>41516</v>
      </c>
      <c r="U46" s="2">
        <v>41613</v>
      </c>
      <c r="V46" s="2">
        <v>41635</v>
      </c>
      <c r="W46" s="2">
        <v>41681</v>
      </c>
      <c r="X46" s="2">
        <v>41726</v>
      </c>
      <c r="Y46" s="3" t="s">
        <v>685</v>
      </c>
      <c r="Z46" s="3" t="s">
        <v>686</v>
      </c>
      <c r="AA46" s="3" t="s">
        <v>687</v>
      </c>
      <c r="AB46" s="2">
        <v>41726</v>
      </c>
      <c r="AC46" s="2">
        <v>43220</v>
      </c>
      <c r="AD46" s="2" t="s">
        <v>49</v>
      </c>
      <c r="AE46" s="2">
        <v>41928</v>
      </c>
      <c r="AF46" s="2">
        <v>42415</v>
      </c>
      <c r="AG46" s="2">
        <v>41942</v>
      </c>
      <c r="AH46" s="5">
        <v>99685.88</v>
      </c>
      <c r="AI46" s="6">
        <v>1</v>
      </c>
      <c r="AJ46" s="71" t="str">
        <f>MID(D46,5,LEN(D46)-4)</f>
        <v>ATEP3</v>
      </c>
    </row>
    <row r="47" spans="1:36" ht="118.95" customHeight="1" x14ac:dyDescent="0.3">
      <c r="A47" s="1">
        <f t="shared" si="1"/>
        <v>188</v>
      </c>
      <c r="B47" cm="1">
        <f t="array" ref="B47">IFERROR(MAX(--_xlfn.TEXTSPLIT(C47,";")),0)</f>
        <v>33</v>
      </c>
      <c r="C47" t="s">
        <v>1777</v>
      </c>
      <c r="D47" s="1" t="s">
        <v>808</v>
      </c>
      <c r="E47" s="1" t="s">
        <v>809</v>
      </c>
      <c r="F47" s="1">
        <v>4</v>
      </c>
      <c r="G47" s="1" t="s">
        <v>810</v>
      </c>
      <c r="H47" s="1" t="s">
        <v>811</v>
      </c>
      <c r="I47" s="1" t="s">
        <v>64</v>
      </c>
      <c r="J47" s="1" t="s">
        <v>75</v>
      </c>
      <c r="K47" s="1" t="s">
        <v>38</v>
      </c>
      <c r="L47" s="1" t="s">
        <v>39</v>
      </c>
      <c r="M47" s="2" t="s">
        <v>40</v>
      </c>
      <c r="N47" s="3">
        <v>810000</v>
      </c>
      <c r="O47" s="3" t="s">
        <v>41</v>
      </c>
      <c r="P47" s="1" t="s">
        <v>812</v>
      </c>
      <c r="Q47" s="1" t="s">
        <v>133</v>
      </c>
      <c r="R47" s="3" t="s">
        <v>44</v>
      </c>
      <c r="S47" s="3" t="s">
        <v>114</v>
      </c>
      <c r="T47" s="2">
        <v>43033</v>
      </c>
      <c r="U47" s="2">
        <v>43126</v>
      </c>
      <c r="V47" s="2">
        <v>43146</v>
      </c>
      <c r="W47" s="2">
        <v>43160</v>
      </c>
      <c r="X47" s="2">
        <v>43193</v>
      </c>
      <c r="Y47" s="3" t="s">
        <v>813</v>
      </c>
      <c r="Z47" s="3" t="s">
        <v>814</v>
      </c>
      <c r="AA47" s="3" t="s">
        <v>815</v>
      </c>
      <c r="AB47" s="2">
        <v>43221</v>
      </c>
      <c r="AC47" s="2">
        <v>46327</v>
      </c>
      <c r="AD47" s="2" t="s">
        <v>49</v>
      </c>
      <c r="AE47" s="2">
        <v>44421</v>
      </c>
      <c r="AF47" s="2">
        <v>44848</v>
      </c>
      <c r="AG47" s="2">
        <v>45521</v>
      </c>
      <c r="AH47" s="8">
        <v>1306596.7</v>
      </c>
      <c r="AI47" s="6">
        <v>1</v>
      </c>
      <c r="AJ47" s="71" t="str">
        <f>MID(D47,5,LEN(D47)-4)</f>
        <v>ATEP4</v>
      </c>
    </row>
    <row r="48" spans="1:36" ht="118.95" customHeight="1" x14ac:dyDescent="0.3">
      <c r="A48" s="1">
        <f t="shared" si="1"/>
        <v>188</v>
      </c>
      <c r="B48" cm="1">
        <f t="array" ref="B48">IFERROR(MAX(--_xlfn.TEXTSPLIT(C48,";")),0)</f>
        <v>31</v>
      </c>
      <c r="C48" t="s">
        <v>1778</v>
      </c>
      <c r="D48" s="1" t="s">
        <v>909</v>
      </c>
      <c r="E48" s="1" t="s">
        <v>108</v>
      </c>
      <c r="F48" s="1">
        <v>3</v>
      </c>
      <c r="G48" s="1" t="s">
        <v>910</v>
      </c>
      <c r="H48" s="1" t="s">
        <v>911</v>
      </c>
      <c r="I48" s="1" t="s">
        <v>111</v>
      </c>
      <c r="J48" s="18" t="s">
        <v>912</v>
      </c>
      <c r="K48" s="1" t="s">
        <v>38</v>
      </c>
      <c r="L48" s="1" t="s">
        <v>39</v>
      </c>
      <c r="M48" s="2" t="s">
        <v>40</v>
      </c>
      <c r="N48" s="3">
        <v>843000</v>
      </c>
      <c r="O48" s="3" t="s">
        <v>41</v>
      </c>
      <c r="P48" s="1" t="s">
        <v>913</v>
      </c>
      <c r="Q48" s="1" t="s">
        <v>693</v>
      </c>
      <c r="R48" s="3" t="s">
        <v>44</v>
      </c>
      <c r="S48" s="3" t="s">
        <v>152</v>
      </c>
      <c r="T48" s="2">
        <v>44335</v>
      </c>
      <c r="U48" s="2">
        <v>44904</v>
      </c>
      <c r="V48" s="2">
        <v>44932</v>
      </c>
      <c r="W48" s="2">
        <v>45085</v>
      </c>
      <c r="X48" s="2">
        <v>45185</v>
      </c>
      <c r="Y48" s="3" t="s">
        <v>914</v>
      </c>
      <c r="Z48" s="19" t="s">
        <v>915</v>
      </c>
      <c r="AA48" s="3" t="s">
        <v>916</v>
      </c>
      <c r="AB48" s="2">
        <v>45185</v>
      </c>
      <c r="AC48" s="2">
        <v>49810</v>
      </c>
      <c r="AD48" s="2" t="s">
        <v>106</v>
      </c>
      <c r="AE48" s="2">
        <v>45548</v>
      </c>
      <c r="AF48" s="2" t="s">
        <v>697</v>
      </c>
      <c r="AG48" s="2" t="s">
        <v>697</v>
      </c>
      <c r="AH48" s="5">
        <v>843000</v>
      </c>
      <c r="AI48" s="13">
        <v>0.55930000000000002</v>
      </c>
      <c r="AJ48" s="71" t="str">
        <f>MID(D48,5,LEN(D48)-4)</f>
        <v>AVAM3</v>
      </c>
    </row>
    <row r="49" spans="1:36" ht="118.95" customHeight="1" x14ac:dyDescent="0.3">
      <c r="A49" s="1">
        <f t="shared" si="1"/>
        <v>188</v>
      </c>
      <c r="B49" cm="1">
        <f t="array" ref="B49">IFERROR(MAX(--_xlfn.TEXTSPLIT(C49,";")),0)</f>
        <v>34</v>
      </c>
      <c r="C49" t="s">
        <v>1779</v>
      </c>
      <c r="D49" s="1" t="s">
        <v>287</v>
      </c>
      <c r="E49" s="1" t="s">
        <v>288</v>
      </c>
      <c r="F49" s="1">
        <v>1</v>
      </c>
      <c r="G49" s="1" t="s">
        <v>289</v>
      </c>
      <c r="H49" s="1" t="s">
        <v>290</v>
      </c>
      <c r="I49" s="1" t="s">
        <v>111</v>
      </c>
      <c r="J49" s="1" t="s">
        <v>112</v>
      </c>
      <c r="K49" s="1" t="s">
        <v>38</v>
      </c>
      <c r="L49" s="1" t="s">
        <v>66</v>
      </c>
      <c r="M49" s="2" t="s">
        <v>40</v>
      </c>
      <c r="N49" s="3">
        <v>10350000</v>
      </c>
      <c r="O49" s="3" t="s">
        <v>41</v>
      </c>
      <c r="P49" s="10" t="s">
        <v>291</v>
      </c>
      <c r="Q49" s="1" t="s">
        <v>133</v>
      </c>
      <c r="R49" s="3" t="s">
        <v>123</v>
      </c>
      <c r="S49" s="3" t="s">
        <v>292</v>
      </c>
      <c r="T49" s="2">
        <v>36781</v>
      </c>
      <c r="U49" s="2">
        <v>37070</v>
      </c>
      <c r="V49" s="2">
        <v>37096</v>
      </c>
      <c r="W49" s="2">
        <v>37123</v>
      </c>
      <c r="X49" s="2">
        <v>37170</v>
      </c>
      <c r="Y49" s="3" t="s">
        <v>293</v>
      </c>
      <c r="Z49" s="3" t="s">
        <v>294</v>
      </c>
      <c r="AA49" s="3" t="s">
        <v>295</v>
      </c>
      <c r="AB49" s="2">
        <v>37596</v>
      </c>
      <c r="AC49" s="2">
        <v>48553</v>
      </c>
      <c r="AD49" s="2" t="s">
        <v>106</v>
      </c>
      <c r="AE49" s="2" t="s">
        <v>50</v>
      </c>
      <c r="AF49" s="2">
        <v>38834</v>
      </c>
      <c r="AG49" s="2">
        <v>38959</v>
      </c>
      <c r="AH49" s="8">
        <v>21176669.43</v>
      </c>
      <c r="AI49" s="6">
        <v>1</v>
      </c>
      <c r="AJ49" s="71" t="str">
        <f>MID(D49,5,LEN(D49)-4)</f>
        <v>AVES1</v>
      </c>
    </row>
    <row r="50" spans="1:36" ht="118.95" customHeight="1" x14ac:dyDescent="0.3">
      <c r="A50" s="1">
        <f t="shared" si="1"/>
        <v>188</v>
      </c>
      <c r="B50" cm="1">
        <f t="array" ref="B50">IFERROR(MAX(--_xlfn.TEXTSPLIT(C50,";")),0)</f>
        <v>35</v>
      </c>
      <c r="C50" t="s">
        <v>1780</v>
      </c>
      <c r="D50" s="1" t="s">
        <v>316</v>
      </c>
      <c r="E50" s="1" t="s">
        <v>317</v>
      </c>
      <c r="F50" s="1">
        <v>1</v>
      </c>
      <c r="G50" s="1" t="s">
        <v>318</v>
      </c>
      <c r="H50" s="1" t="s">
        <v>319</v>
      </c>
      <c r="I50" s="1" t="s">
        <v>111</v>
      </c>
      <c r="J50" s="1" t="s">
        <v>112</v>
      </c>
      <c r="K50" s="1" t="s">
        <v>38</v>
      </c>
      <c r="L50" s="1" t="s">
        <v>66</v>
      </c>
      <c r="M50" s="2" t="s">
        <v>40</v>
      </c>
      <c r="N50" s="3">
        <v>10100000</v>
      </c>
      <c r="O50" s="3" t="s">
        <v>41</v>
      </c>
      <c r="P50" s="1" t="s">
        <v>320</v>
      </c>
      <c r="Q50" s="1" t="s">
        <v>133</v>
      </c>
      <c r="R50" s="3" t="s">
        <v>123</v>
      </c>
      <c r="S50" s="3" t="s">
        <v>275</v>
      </c>
      <c r="T50" s="2">
        <v>37077</v>
      </c>
      <c r="U50" s="2">
        <v>37224</v>
      </c>
      <c r="V50" s="2">
        <v>37246</v>
      </c>
      <c r="W50" s="2">
        <v>37320</v>
      </c>
      <c r="X50" s="2">
        <v>37399</v>
      </c>
      <c r="Y50" s="3" t="s">
        <v>321</v>
      </c>
      <c r="Z50" s="3" t="s">
        <v>322</v>
      </c>
      <c r="AA50" s="3" t="s">
        <v>323</v>
      </c>
      <c r="AB50" s="2">
        <v>37734</v>
      </c>
      <c r="AC50" s="2">
        <v>48692</v>
      </c>
      <c r="AD50" s="2" t="s">
        <v>106</v>
      </c>
      <c r="AE50" s="2" t="s">
        <v>50</v>
      </c>
      <c r="AF50" s="2">
        <v>38721</v>
      </c>
      <c r="AG50" s="2">
        <v>42604</v>
      </c>
      <c r="AH50" s="8">
        <v>21794859.77</v>
      </c>
      <c r="AI50" s="6">
        <v>1</v>
      </c>
      <c r="AJ50" s="71" t="str">
        <f>MID(D50,5,LEN(D50)-4)</f>
        <v>AVNP1</v>
      </c>
    </row>
    <row r="51" spans="1:36" ht="118.95" customHeight="1" x14ac:dyDescent="0.3">
      <c r="A51" s="1">
        <f t="shared" si="1"/>
        <v>188</v>
      </c>
      <c r="B51" cm="1">
        <f t="array" ref="B51">IFERROR(MAX(--_xlfn.TEXTSPLIT(C51,";")),0)</f>
        <v>36</v>
      </c>
      <c r="C51" t="s">
        <v>1781</v>
      </c>
      <c r="D51" s="1" t="s">
        <v>51</v>
      </c>
      <c r="E51" s="59" t="s">
        <v>52</v>
      </c>
      <c r="F51" s="1">
        <v>1</v>
      </c>
      <c r="G51" s="1" t="s">
        <v>53</v>
      </c>
      <c r="H51" s="1" t="s">
        <v>54</v>
      </c>
      <c r="I51" s="1" t="s">
        <v>36</v>
      </c>
      <c r="J51" s="1" t="s">
        <v>55</v>
      </c>
      <c r="K51" s="1" t="s">
        <v>38</v>
      </c>
      <c r="L51" s="1" t="s">
        <v>39</v>
      </c>
      <c r="M51" s="2" t="s">
        <v>40</v>
      </c>
      <c r="N51" s="3">
        <v>600000</v>
      </c>
      <c r="O51" s="3" t="s">
        <v>41</v>
      </c>
      <c r="P51" s="4" t="s">
        <v>56</v>
      </c>
      <c r="Q51" s="1" t="s">
        <v>43</v>
      </c>
      <c r="R51" s="3" t="s">
        <v>44</v>
      </c>
      <c r="S51" s="3" t="s">
        <v>57</v>
      </c>
      <c r="T51" s="2">
        <v>34122</v>
      </c>
      <c r="U51" s="2">
        <v>34415</v>
      </c>
      <c r="V51" s="2">
        <v>34445</v>
      </c>
      <c r="W51" s="2">
        <v>34453</v>
      </c>
      <c r="X51" s="2">
        <v>34519</v>
      </c>
      <c r="Y51" s="3" t="s">
        <v>58</v>
      </c>
      <c r="Z51" s="3" t="s">
        <v>59</v>
      </c>
      <c r="AA51" s="3" t="s">
        <v>60</v>
      </c>
      <c r="AB51" s="2">
        <v>34509</v>
      </c>
      <c r="AC51" s="2">
        <v>41274</v>
      </c>
      <c r="AD51" s="2" t="s">
        <v>49</v>
      </c>
      <c r="AE51" s="2" t="s">
        <v>50</v>
      </c>
      <c r="AF51" s="2">
        <v>35391</v>
      </c>
      <c r="AG51" s="2">
        <v>35248</v>
      </c>
      <c r="AH51" s="5">
        <v>1090333.0000000002</v>
      </c>
      <c r="AI51" s="6">
        <v>1</v>
      </c>
      <c r="AJ51" s="71" t="str">
        <f>MID(D51,5,LEN(D51)-4)</f>
        <v>CDMA1</v>
      </c>
    </row>
    <row r="52" spans="1:36" ht="118.95" customHeight="1" x14ac:dyDescent="0.3">
      <c r="A52" s="1">
        <f t="shared" si="1"/>
        <v>188</v>
      </c>
      <c r="B52" cm="1">
        <f t="array" ref="B52">IFERROR(MAX(--_xlfn.TEXTSPLIT(C52,";")),0)</f>
        <v>37</v>
      </c>
      <c r="C52" t="s">
        <v>1782</v>
      </c>
      <c r="D52" s="1" t="s">
        <v>156</v>
      </c>
      <c r="E52" s="1" t="s">
        <v>1857</v>
      </c>
      <c r="F52" s="1">
        <v>1</v>
      </c>
      <c r="G52" s="1" t="s">
        <v>157</v>
      </c>
      <c r="H52" s="1" t="s">
        <v>158</v>
      </c>
      <c r="I52" s="1" t="s">
        <v>36</v>
      </c>
      <c r="J52" s="1" t="s">
        <v>159</v>
      </c>
      <c r="K52" s="1" t="s">
        <v>38</v>
      </c>
      <c r="L52" s="1" t="s">
        <v>39</v>
      </c>
      <c r="M52" s="2" t="s">
        <v>40</v>
      </c>
      <c r="N52" s="3">
        <v>6640000</v>
      </c>
      <c r="O52" s="3" t="s">
        <v>41</v>
      </c>
      <c r="P52" s="1" t="s">
        <v>160</v>
      </c>
      <c r="Q52" s="1" t="s">
        <v>43</v>
      </c>
      <c r="R52" s="3" t="s">
        <v>123</v>
      </c>
      <c r="S52" s="3" t="s">
        <v>124</v>
      </c>
      <c r="T52" s="2">
        <v>35370</v>
      </c>
      <c r="U52" s="2">
        <v>35493</v>
      </c>
      <c r="V52" s="2">
        <v>35506</v>
      </c>
      <c r="W52" s="2">
        <v>35611</v>
      </c>
      <c r="X52" s="2">
        <v>35717</v>
      </c>
      <c r="Y52" s="3" t="s">
        <v>161</v>
      </c>
      <c r="Z52" s="3" t="s">
        <v>162</v>
      </c>
      <c r="AA52" s="3" t="s">
        <v>163</v>
      </c>
      <c r="AB52" s="2">
        <v>35956</v>
      </c>
      <c r="AC52" s="2">
        <v>44971</v>
      </c>
      <c r="AD52" s="2" t="s">
        <v>49</v>
      </c>
      <c r="AE52" s="2" t="s">
        <v>50</v>
      </c>
      <c r="AF52" s="2">
        <v>37452</v>
      </c>
      <c r="AG52" s="2">
        <v>37812</v>
      </c>
      <c r="AH52" s="5">
        <v>9603667.0933703333</v>
      </c>
      <c r="AI52" s="6">
        <v>1</v>
      </c>
      <c r="AJ52" s="71" t="str">
        <f>MID(D52,5,LEN(D52)-4)</f>
        <v>CHCO1</v>
      </c>
    </row>
    <row r="53" spans="1:36" ht="242.4" customHeight="1" x14ac:dyDescent="0.3">
      <c r="A53" s="1">
        <f t="shared" si="1"/>
        <v>188</v>
      </c>
      <c r="B53" cm="1">
        <f t="array" ref="B53">IFERROR(MAX(--_xlfn.TEXTSPLIT(C53,";")),0)</f>
        <v>37</v>
      </c>
      <c r="C53" t="s">
        <v>1782</v>
      </c>
      <c r="D53" s="1" t="s">
        <v>946</v>
      </c>
      <c r="E53" s="1" t="s">
        <v>1857</v>
      </c>
      <c r="F53" s="1">
        <v>2</v>
      </c>
      <c r="G53" s="1" t="s">
        <v>947</v>
      </c>
      <c r="H53" s="1" t="s">
        <v>948</v>
      </c>
      <c r="I53" s="1" t="s">
        <v>36</v>
      </c>
      <c r="J53" s="1" t="s">
        <v>949</v>
      </c>
      <c r="K53" s="1" t="s">
        <v>38</v>
      </c>
      <c r="L53" s="1" t="s">
        <v>39</v>
      </c>
      <c r="M53" s="2" t="s">
        <v>40</v>
      </c>
      <c r="N53" s="3">
        <v>14215000</v>
      </c>
      <c r="O53" s="3" t="s">
        <v>41</v>
      </c>
      <c r="P53" s="1" t="s">
        <v>950</v>
      </c>
      <c r="Q53" s="1" t="s">
        <v>662</v>
      </c>
      <c r="R53" s="3" t="s">
        <v>44</v>
      </c>
      <c r="S53" s="3" t="s">
        <v>152</v>
      </c>
      <c r="T53" s="2">
        <v>44498</v>
      </c>
      <c r="U53" s="2">
        <v>44827</v>
      </c>
      <c r="V53" s="2">
        <v>44855</v>
      </c>
      <c r="W53" s="2">
        <v>44909</v>
      </c>
      <c r="X53" s="2">
        <v>44968</v>
      </c>
      <c r="Y53" s="3" t="s">
        <v>951</v>
      </c>
      <c r="Z53" s="61" t="s">
        <v>952</v>
      </c>
      <c r="AA53" s="3" t="s">
        <v>953</v>
      </c>
      <c r="AB53" s="2">
        <v>44968</v>
      </c>
      <c r="AC53" s="2">
        <v>55926</v>
      </c>
      <c r="AD53" s="2" t="s">
        <v>106</v>
      </c>
      <c r="AE53" s="2" t="s">
        <v>855</v>
      </c>
      <c r="AF53" s="2" t="s">
        <v>697</v>
      </c>
      <c r="AG53" s="2" t="s">
        <v>697</v>
      </c>
      <c r="AH53" s="5">
        <v>14215000</v>
      </c>
      <c r="AI53" s="6">
        <v>0</v>
      </c>
      <c r="AJ53" s="71" t="str">
        <f>MID(D53,5,LEN(D53)-4)</f>
        <v>CHCO2</v>
      </c>
    </row>
    <row r="54" spans="1:36" ht="118.95" customHeight="1" x14ac:dyDescent="0.3">
      <c r="A54" s="1">
        <f t="shared" si="1"/>
        <v>188</v>
      </c>
      <c r="B54" cm="1">
        <f t="array" ref="B54">IFERROR(MAX(--_xlfn.TEXTSPLIT(C54,";")),0)</f>
        <v>38</v>
      </c>
      <c r="C54" t="s">
        <v>1783</v>
      </c>
      <c r="D54" s="1" t="s">
        <v>98</v>
      </c>
      <c r="E54" s="1" t="s">
        <v>99</v>
      </c>
      <c r="F54" s="1">
        <v>1</v>
      </c>
      <c r="G54" s="1" t="s">
        <v>100</v>
      </c>
      <c r="H54" s="1" t="s">
        <v>101</v>
      </c>
      <c r="I54" s="1" t="s">
        <v>36</v>
      </c>
      <c r="J54" s="1" t="s">
        <v>37</v>
      </c>
      <c r="K54" s="1" t="s">
        <v>38</v>
      </c>
      <c r="L54" s="1" t="s">
        <v>39</v>
      </c>
      <c r="M54" s="2" t="s">
        <v>40</v>
      </c>
      <c r="N54" s="3">
        <v>298000</v>
      </c>
      <c r="O54" s="3" t="s">
        <v>41</v>
      </c>
      <c r="P54" s="4" t="s">
        <v>102</v>
      </c>
      <c r="Q54" s="1" t="s">
        <v>43</v>
      </c>
      <c r="R54" s="3" t="s">
        <v>44</v>
      </c>
      <c r="S54" s="3" t="s">
        <v>85</v>
      </c>
      <c r="T54" s="2">
        <v>34758</v>
      </c>
      <c r="U54" s="2">
        <v>34851</v>
      </c>
      <c r="V54" s="2">
        <v>34884</v>
      </c>
      <c r="W54" s="2">
        <v>34908</v>
      </c>
      <c r="X54" s="2">
        <v>35006</v>
      </c>
      <c r="Y54" s="3" t="s">
        <v>103</v>
      </c>
      <c r="Z54" s="3" t="s">
        <v>104</v>
      </c>
      <c r="AA54" s="61" t="s">
        <v>105</v>
      </c>
      <c r="AB54" s="2">
        <v>35011</v>
      </c>
      <c r="AC54" s="2">
        <v>42613</v>
      </c>
      <c r="AD54" s="2" t="s">
        <v>106</v>
      </c>
      <c r="AE54" s="2" t="s">
        <v>50</v>
      </c>
      <c r="AF54" s="2">
        <v>35504</v>
      </c>
      <c r="AG54" s="2">
        <v>35732</v>
      </c>
      <c r="AH54" s="5">
        <v>430872.77</v>
      </c>
      <c r="AI54" s="6">
        <v>1</v>
      </c>
      <c r="AJ54" s="71" t="str">
        <f>MID(D54,5,LEN(D54)-4)</f>
        <v>CNPU1</v>
      </c>
    </row>
    <row r="55" spans="1:36" ht="118.95" customHeight="1" x14ac:dyDescent="0.3">
      <c r="A55" s="1">
        <f t="shared" si="1"/>
        <v>188</v>
      </c>
      <c r="B55" cm="1">
        <f t="array" ref="B55">IFERROR(MAX(--_xlfn.TEXTSPLIT(C55,";")),0)</f>
        <v>42</v>
      </c>
      <c r="C55" t="s">
        <v>1784</v>
      </c>
      <c r="D55" s="1" t="s">
        <v>666</v>
      </c>
      <c r="E55" s="1" t="s">
        <v>667</v>
      </c>
      <c r="F55" s="1">
        <v>1</v>
      </c>
      <c r="G55" s="1" t="s">
        <v>668</v>
      </c>
      <c r="H55" s="1" t="s">
        <v>669</v>
      </c>
      <c r="I55" s="1" t="s">
        <v>385</v>
      </c>
      <c r="J55" s="1" t="s">
        <v>37</v>
      </c>
      <c r="K55" s="1" t="s">
        <v>38</v>
      </c>
      <c r="L55" s="1" t="s">
        <v>39</v>
      </c>
      <c r="M55" s="2" t="s">
        <v>40</v>
      </c>
      <c r="N55" s="3">
        <v>1924500</v>
      </c>
      <c r="O55" s="3" t="s">
        <v>41</v>
      </c>
      <c r="P55" s="1" t="s">
        <v>670</v>
      </c>
      <c r="Q55" s="1" t="s">
        <v>133</v>
      </c>
      <c r="R55" s="3" t="s">
        <v>44</v>
      </c>
      <c r="S55" s="3" t="s">
        <v>301</v>
      </c>
      <c r="T55" s="2">
        <v>41274</v>
      </c>
      <c r="U55" s="2">
        <v>41969</v>
      </c>
      <c r="V55" s="2">
        <v>41992</v>
      </c>
      <c r="W55" s="2">
        <v>42082</v>
      </c>
      <c r="X55" s="2">
        <v>42142</v>
      </c>
      <c r="Y55" s="3" t="s">
        <v>671</v>
      </c>
      <c r="Z55" s="3" t="s">
        <v>672</v>
      </c>
      <c r="AA55" s="3" t="s">
        <v>673</v>
      </c>
      <c r="AB55" s="2">
        <v>42142</v>
      </c>
      <c r="AC55" s="2">
        <v>47804</v>
      </c>
      <c r="AD55" s="2" t="s">
        <v>49</v>
      </c>
      <c r="AE55" s="2">
        <v>42748</v>
      </c>
      <c r="AF55" s="2">
        <v>43669</v>
      </c>
      <c r="AG55" s="2">
        <v>43793</v>
      </c>
      <c r="AH55" s="8">
        <v>2032422.63</v>
      </c>
      <c r="AI55" s="6">
        <v>1</v>
      </c>
      <c r="AJ55" s="71" t="str">
        <f>MID(D55,5,LEN(D55)-4)</f>
        <v>CFLL1</v>
      </c>
    </row>
    <row r="56" spans="1:36" ht="118.95" customHeight="1" x14ac:dyDescent="0.3">
      <c r="A56" s="1">
        <f t="shared" si="1"/>
        <v>188</v>
      </c>
      <c r="B56" cm="1">
        <f t="array" ref="B56">IFERROR(MAX(--_xlfn.TEXTSPLIT(C56,";")),0)</f>
        <v>41</v>
      </c>
      <c r="C56" t="s">
        <v>1785</v>
      </c>
      <c r="D56" s="1" t="s">
        <v>729</v>
      </c>
      <c r="E56" s="1" t="s">
        <v>99</v>
      </c>
      <c r="F56" s="1">
        <v>2</v>
      </c>
      <c r="G56" s="1" t="s">
        <v>730</v>
      </c>
      <c r="H56" s="1" t="s">
        <v>731</v>
      </c>
      <c r="I56" s="1" t="s">
        <v>36</v>
      </c>
      <c r="J56" s="1" t="s">
        <v>37</v>
      </c>
      <c r="K56" s="1" t="s">
        <v>38</v>
      </c>
      <c r="L56" s="1" t="s">
        <v>39</v>
      </c>
      <c r="M56" s="2" t="s">
        <v>40</v>
      </c>
      <c r="N56" s="3">
        <v>5250000</v>
      </c>
      <c r="O56" s="3" t="s">
        <v>41</v>
      </c>
      <c r="P56" s="1" t="s">
        <v>732</v>
      </c>
      <c r="Q56" s="1" t="s">
        <v>662</v>
      </c>
      <c r="R56" s="3" t="s">
        <v>44</v>
      </c>
      <c r="S56" s="3" t="s">
        <v>484</v>
      </c>
      <c r="T56" s="2">
        <v>42335</v>
      </c>
      <c r="U56" s="2">
        <v>42458</v>
      </c>
      <c r="V56" s="2">
        <v>42482</v>
      </c>
      <c r="W56" s="2">
        <v>42528</v>
      </c>
      <c r="X56" s="2">
        <v>42605</v>
      </c>
      <c r="Y56" s="3" t="s">
        <v>733</v>
      </c>
      <c r="Z56" s="3" t="s">
        <v>734</v>
      </c>
      <c r="AA56" s="3" t="s">
        <v>735</v>
      </c>
      <c r="AB56" s="2">
        <v>42605</v>
      </c>
      <c r="AC56" s="2">
        <v>53197</v>
      </c>
      <c r="AD56" s="2" t="s">
        <v>106</v>
      </c>
      <c r="AE56" s="2">
        <v>44006</v>
      </c>
      <c r="AF56" s="2" t="s">
        <v>697</v>
      </c>
      <c r="AG56" s="2" t="s">
        <v>697</v>
      </c>
      <c r="AH56" s="5">
        <v>5250000</v>
      </c>
      <c r="AI56" s="6" t="s">
        <v>736</v>
      </c>
      <c r="AJ56" s="71" t="str">
        <f>MID(D56,5,LEN(D56)-4)</f>
        <v>CNPU2</v>
      </c>
    </row>
    <row r="57" spans="1:36" ht="118.95" customHeight="1" x14ac:dyDescent="0.3">
      <c r="A57" s="1">
        <f t="shared" si="1"/>
        <v>188</v>
      </c>
      <c r="B57" cm="1">
        <f t="array" ref="B57">IFERROR(MAX(--_xlfn.TEXTSPLIT(C57,";")),0)</f>
        <v>43</v>
      </c>
      <c r="C57" t="s">
        <v>1786</v>
      </c>
      <c r="D57" s="1" t="s">
        <v>600</v>
      </c>
      <c r="E57" s="1" t="s">
        <v>1858</v>
      </c>
      <c r="F57" s="1">
        <v>1</v>
      </c>
      <c r="G57" s="1" t="s">
        <v>601</v>
      </c>
      <c r="H57" s="1" t="s">
        <v>602</v>
      </c>
      <c r="I57" s="1" t="s">
        <v>36</v>
      </c>
      <c r="J57" s="1" t="s">
        <v>83</v>
      </c>
      <c r="K57" s="1" t="s">
        <v>38</v>
      </c>
      <c r="L57" s="1" t="s">
        <v>66</v>
      </c>
      <c r="M57" s="2">
        <v>38646</v>
      </c>
      <c r="N57" s="3">
        <v>8400000</v>
      </c>
      <c r="O57" s="3" t="s">
        <v>41</v>
      </c>
      <c r="P57" s="1" t="s">
        <v>603</v>
      </c>
      <c r="Q57" s="1" t="s">
        <v>133</v>
      </c>
      <c r="R57" s="3" t="s">
        <v>44</v>
      </c>
      <c r="S57" s="3" t="s">
        <v>484</v>
      </c>
      <c r="T57" s="2">
        <v>40186</v>
      </c>
      <c r="U57" s="2">
        <v>40539</v>
      </c>
      <c r="V57" s="2">
        <v>40560</v>
      </c>
      <c r="W57" s="2">
        <v>40701</v>
      </c>
      <c r="X57" s="2">
        <v>40789</v>
      </c>
      <c r="Y57" s="3" t="s">
        <v>604</v>
      </c>
      <c r="Z57" s="3" t="s">
        <v>605</v>
      </c>
      <c r="AA57" s="3" t="s">
        <v>606</v>
      </c>
      <c r="AB57" s="2">
        <v>40789</v>
      </c>
      <c r="AC57" s="2">
        <v>54241</v>
      </c>
      <c r="AD57" s="2" t="s">
        <v>106</v>
      </c>
      <c r="AE57" s="2">
        <v>41086</v>
      </c>
      <c r="AF57" s="2">
        <v>42600</v>
      </c>
      <c r="AG57" s="2">
        <v>43320</v>
      </c>
      <c r="AH57" s="68">
        <v>9125338.2400000002</v>
      </c>
      <c r="AI57" s="6">
        <v>1</v>
      </c>
      <c r="AJ57" s="72" t="str">
        <f>MID(D57,5,LEN(D57)-4)</f>
        <v>COCA1</v>
      </c>
    </row>
    <row r="58" spans="1:36" ht="118.95" customHeight="1" x14ac:dyDescent="0.3">
      <c r="A58" s="1">
        <f t="shared" si="1"/>
        <v>188</v>
      </c>
      <c r="B58" cm="1">
        <f t="array" ref="B58">IFERROR(MAX(--_xlfn.TEXTSPLIT(C58,";")),0)</f>
        <v>44</v>
      </c>
      <c r="C58" t="s">
        <v>1787</v>
      </c>
      <c r="D58" s="1" t="s">
        <v>516</v>
      </c>
      <c r="E58" s="1" t="s">
        <v>517</v>
      </c>
      <c r="F58" s="1">
        <v>1</v>
      </c>
      <c r="G58" s="1" t="s">
        <v>518</v>
      </c>
      <c r="H58" s="1" t="s">
        <v>519</v>
      </c>
      <c r="I58" s="1" t="s">
        <v>385</v>
      </c>
      <c r="J58" s="1" t="s">
        <v>112</v>
      </c>
      <c r="K58" s="1" t="s">
        <v>38</v>
      </c>
      <c r="L58" s="1" t="s">
        <v>66</v>
      </c>
      <c r="M58" s="2">
        <v>37337</v>
      </c>
      <c r="N58" s="3">
        <v>482000</v>
      </c>
      <c r="O58" s="3" t="s">
        <v>41</v>
      </c>
      <c r="P58" s="4" t="s">
        <v>520</v>
      </c>
      <c r="Q58" s="1" t="s">
        <v>133</v>
      </c>
      <c r="R58" s="3" t="s">
        <v>44</v>
      </c>
      <c r="S58" s="3" t="s">
        <v>114</v>
      </c>
      <c r="T58" s="2">
        <v>39451</v>
      </c>
      <c r="U58" s="2">
        <v>40121</v>
      </c>
      <c r="V58" s="2">
        <v>40149</v>
      </c>
      <c r="W58" s="2">
        <v>40224</v>
      </c>
      <c r="X58" s="2">
        <v>40303</v>
      </c>
      <c r="Y58" s="3" t="s">
        <v>521</v>
      </c>
      <c r="Z58" s="3" t="s">
        <v>522</v>
      </c>
      <c r="AA58" s="3" t="s">
        <v>523</v>
      </c>
      <c r="AB58" s="2">
        <v>40303</v>
      </c>
      <c r="AC58" s="2">
        <v>50987</v>
      </c>
      <c r="AD58" s="2" t="s">
        <v>49</v>
      </c>
      <c r="AE58" s="2">
        <v>41281</v>
      </c>
      <c r="AF58" s="2">
        <v>41856</v>
      </c>
      <c r="AG58" s="2">
        <v>42034</v>
      </c>
      <c r="AH58" s="8">
        <v>449094</v>
      </c>
      <c r="AI58" s="6">
        <v>1</v>
      </c>
      <c r="AJ58" s="71" t="str">
        <f>MID(D58,5,LEN(D58)-4)</f>
        <v>CMVR1</v>
      </c>
    </row>
    <row r="59" spans="1:36" ht="118.95" customHeight="1" x14ac:dyDescent="0.3">
      <c r="A59" s="1">
        <f t="shared" si="1"/>
        <v>188</v>
      </c>
      <c r="B59" cm="1">
        <f t="array" ref="B59">IFERROR(MAX(--_xlfn.TEXTSPLIT(C59,";")),0)</f>
        <v>45</v>
      </c>
      <c r="C59" t="s">
        <v>1788</v>
      </c>
      <c r="D59" s="1" t="s">
        <v>213</v>
      </c>
      <c r="E59" s="1" t="s">
        <v>1859</v>
      </c>
      <c r="F59" s="1">
        <v>1</v>
      </c>
      <c r="G59" s="1" t="s">
        <v>214</v>
      </c>
      <c r="H59" s="1" t="s">
        <v>215</v>
      </c>
      <c r="I59" s="1" t="s">
        <v>36</v>
      </c>
      <c r="J59" s="1" t="s">
        <v>216</v>
      </c>
      <c r="K59" s="1" t="s">
        <v>38</v>
      </c>
      <c r="L59" s="1" t="s">
        <v>39</v>
      </c>
      <c r="M59" s="2" t="s">
        <v>40</v>
      </c>
      <c r="N59" s="3">
        <v>7131000</v>
      </c>
      <c r="O59" s="3" t="s">
        <v>41</v>
      </c>
      <c r="P59" s="1" t="s">
        <v>217</v>
      </c>
      <c r="Q59" s="1" t="s">
        <v>133</v>
      </c>
      <c r="R59" s="3" t="s">
        <v>123</v>
      </c>
      <c r="S59" s="3" t="s">
        <v>200</v>
      </c>
      <c r="T59" s="2">
        <v>35707</v>
      </c>
      <c r="U59" s="2">
        <v>35748</v>
      </c>
      <c r="V59" s="2">
        <v>35769</v>
      </c>
      <c r="W59" s="2">
        <v>35905</v>
      </c>
      <c r="X59" s="2">
        <v>35984</v>
      </c>
      <c r="Y59" s="3" t="s">
        <v>218</v>
      </c>
      <c r="Z59" s="3" t="s">
        <v>219</v>
      </c>
      <c r="AA59" s="3" t="s">
        <v>220</v>
      </c>
      <c r="AB59" s="2">
        <v>36236</v>
      </c>
      <c r="AC59" s="2">
        <v>46326</v>
      </c>
      <c r="AD59" s="2" t="s">
        <v>49</v>
      </c>
      <c r="AE59" s="2" t="s">
        <v>50</v>
      </c>
      <c r="AF59" s="2">
        <v>37620</v>
      </c>
      <c r="AG59" s="2">
        <v>37914</v>
      </c>
      <c r="AH59" s="9">
        <v>13949740.699999999</v>
      </c>
      <c r="AI59" s="6">
        <v>1</v>
      </c>
      <c r="AJ59" s="71" t="str">
        <f>MID(D59,5,LEN(D59)-4)</f>
        <v>COTE1</v>
      </c>
    </row>
    <row r="60" spans="1:36" ht="118.95" customHeight="1" x14ac:dyDescent="0.3">
      <c r="A60" s="1">
        <f t="shared" si="1"/>
        <v>188</v>
      </c>
      <c r="B60" cm="1">
        <f t="array" ref="B60">IFERROR(MAX(--_xlfn.TEXTSPLIT(C60,";")),0)</f>
        <v>48</v>
      </c>
      <c r="C60" t="s">
        <v>1789</v>
      </c>
      <c r="D60" s="1" t="s">
        <v>147</v>
      </c>
      <c r="E60" s="1" t="s">
        <v>148</v>
      </c>
      <c r="F60" s="1">
        <v>1</v>
      </c>
      <c r="G60" s="1" t="s">
        <v>149</v>
      </c>
      <c r="H60" s="1" t="s">
        <v>150</v>
      </c>
      <c r="I60" s="1" t="s">
        <v>36</v>
      </c>
      <c r="J60" s="1" t="s">
        <v>92</v>
      </c>
      <c r="K60" s="1" t="s">
        <v>38</v>
      </c>
      <c r="L60" s="1" t="s">
        <v>39</v>
      </c>
      <c r="M60" s="2" t="s">
        <v>40</v>
      </c>
      <c r="N60" s="3">
        <v>12090000</v>
      </c>
      <c r="O60" s="3" t="s">
        <v>41</v>
      </c>
      <c r="P60" s="1" t="s">
        <v>151</v>
      </c>
      <c r="Q60" s="1" t="s">
        <v>43</v>
      </c>
      <c r="R60" s="3" t="s">
        <v>123</v>
      </c>
      <c r="S60" s="3" t="s">
        <v>152</v>
      </c>
      <c r="T60" s="2">
        <v>35219</v>
      </c>
      <c r="U60" s="2">
        <v>35828</v>
      </c>
      <c r="V60" s="2">
        <v>35845</v>
      </c>
      <c r="W60" s="2">
        <v>35944</v>
      </c>
      <c r="X60" s="2">
        <v>36038</v>
      </c>
      <c r="Y60" s="3" t="s">
        <v>153</v>
      </c>
      <c r="Z60" s="3" t="s">
        <v>154</v>
      </c>
      <c r="AA60" s="3" t="s">
        <v>155</v>
      </c>
      <c r="AB60" s="2">
        <v>36382</v>
      </c>
      <c r="AC60" s="2">
        <v>45838</v>
      </c>
      <c r="AD60" s="2" t="s">
        <v>49</v>
      </c>
      <c r="AE60" s="2" t="s">
        <v>50</v>
      </c>
      <c r="AF60" s="2">
        <v>37819</v>
      </c>
      <c r="AG60" s="2">
        <v>38090</v>
      </c>
      <c r="AH60" s="5">
        <v>15427175.559999999</v>
      </c>
      <c r="AI60" s="6">
        <v>1</v>
      </c>
      <c r="AJ60" s="71" t="str">
        <f>MID(D60,5,LEN(D60)-4)</f>
        <v>ISVV1</v>
      </c>
    </row>
    <row r="61" spans="1:36" ht="118.95" customHeight="1" x14ac:dyDescent="0.3">
      <c r="A61" s="1">
        <f t="shared" si="1"/>
        <v>188</v>
      </c>
      <c r="B61" cm="1">
        <f t="array" ref="B61">IFERROR(MAX(--_xlfn.TEXTSPLIT(C61,";")),0)</f>
        <v>48</v>
      </c>
      <c r="C61" t="s">
        <v>1789</v>
      </c>
      <c r="D61" s="59" t="s">
        <v>962</v>
      </c>
      <c r="E61" s="1" t="s">
        <v>148</v>
      </c>
      <c r="F61" s="1">
        <v>2</v>
      </c>
      <c r="G61" s="1" t="s">
        <v>963</v>
      </c>
      <c r="H61" s="1" t="s">
        <v>964</v>
      </c>
      <c r="I61" s="1" t="s">
        <v>36</v>
      </c>
      <c r="J61" s="1" t="s">
        <v>92</v>
      </c>
      <c r="K61" s="1" t="s">
        <v>38</v>
      </c>
      <c r="L61" s="1" t="s">
        <v>39</v>
      </c>
      <c r="M61" s="2"/>
      <c r="N61" s="3">
        <v>35970000</v>
      </c>
      <c r="O61" s="24" t="s">
        <v>41</v>
      </c>
      <c r="P61" s="1" t="s">
        <v>965</v>
      </c>
      <c r="Q61" s="1" t="s">
        <v>662</v>
      </c>
      <c r="R61" s="3" t="s">
        <v>44</v>
      </c>
      <c r="S61" s="3" t="s">
        <v>152</v>
      </c>
      <c r="T61" s="2">
        <v>44561</v>
      </c>
      <c r="U61" s="2">
        <v>45580</v>
      </c>
      <c r="V61" s="2">
        <v>45608</v>
      </c>
      <c r="W61" s="2">
        <v>45674</v>
      </c>
      <c r="X61" s="2">
        <v>45786</v>
      </c>
      <c r="Y61" s="1" t="s">
        <v>966</v>
      </c>
      <c r="Z61" s="1" t="s">
        <v>967</v>
      </c>
      <c r="AA61" s="65" t="s">
        <v>968</v>
      </c>
      <c r="AB61" s="2">
        <v>45786</v>
      </c>
      <c r="AC61" s="2">
        <v>56743</v>
      </c>
      <c r="AD61" s="2" t="s">
        <v>106</v>
      </c>
      <c r="AE61" s="2" t="s">
        <v>855</v>
      </c>
      <c r="AF61" s="2" t="s">
        <v>697</v>
      </c>
      <c r="AG61" s="2" t="s">
        <v>697</v>
      </c>
      <c r="AH61" s="22">
        <v>35970000</v>
      </c>
      <c r="AI61" s="6">
        <v>0</v>
      </c>
      <c r="AJ61" s="71" t="str">
        <f>MID(D61,5,LEN(D61)-4)</f>
        <v>ISVV2</v>
      </c>
    </row>
    <row r="62" spans="1:36" ht="118.95" customHeight="1" x14ac:dyDescent="0.3">
      <c r="A62" s="1">
        <f t="shared" si="1"/>
        <v>188</v>
      </c>
      <c r="B62" cm="1">
        <f t="array" ref="B62">IFERROR(MAX(--_xlfn.TEXTSPLIT(C62,";")),0)</f>
        <v>49</v>
      </c>
      <c r="C62" t="s">
        <v>1790</v>
      </c>
      <c r="D62" s="1" t="s">
        <v>172</v>
      </c>
      <c r="E62" s="1" t="s">
        <v>1860</v>
      </c>
      <c r="F62" s="1">
        <v>1</v>
      </c>
      <c r="G62" s="1" t="s">
        <v>173</v>
      </c>
      <c r="H62" s="1" t="s">
        <v>174</v>
      </c>
      <c r="I62" s="1" t="s">
        <v>36</v>
      </c>
      <c r="J62" s="1" t="s">
        <v>175</v>
      </c>
      <c r="K62" s="1" t="s">
        <v>38</v>
      </c>
      <c r="L62" s="1" t="s">
        <v>39</v>
      </c>
      <c r="M62" s="2" t="s">
        <v>40</v>
      </c>
      <c r="N62" s="3">
        <v>7986345</v>
      </c>
      <c r="O62" s="3" t="s">
        <v>41</v>
      </c>
      <c r="P62" s="1" t="s">
        <v>176</v>
      </c>
      <c r="Q62" s="1" t="s">
        <v>43</v>
      </c>
      <c r="R62" s="3" t="s">
        <v>123</v>
      </c>
      <c r="S62" s="3" t="s">
        <v>124</v>
      </c>
      <c r="T62" s="2">
        <v>35379</v>
      </c>
      <c r="U62" s="2">
        <v>35422</v>
      </c>
      <c r="V62" s="2">
        <v>35430</v>
      </c>
      <c r="W62" s="2">
        <v>35481</v>
      </c>
      <c r="X62" s="2">
        <v>35543</v>
      </c>
      <c r="Y62" s="3" t="s">
        <v>177</v>
      </c>
      <c r="Z62" s="3" t="s">
        <v>178</v>
      </c>
      <c r="AA62" s="3" t="s">
        <v>179</v>
      </c>
      <c r="AB62" s="2">
        <v>35780</v>
      </c>
      <c r="AC62" s="2">
        <v>44910</v>
      </c>
      <c r="AD62" s="2" t="s">
        <v>49</v>
      </c>
      <c r="AE62" s="2" t="s">
        <v>50</v>
      </c>
      <c r="AF62" s="2">
        <v>36818</v>
      </c>
      <c r="AG62" s="2">
        <v>37326</v>
      </c>
      <c r="AH62" s="5">
        <v>8862210.7300000004</v>
      </c>
      <c r="AI62" s="6">
        <v>1</v>
      </c>
      <c r="AJ62" s="71" t="str">
        <f>MID(D62,5,LEN(D62)-4)</f>
        <v>LVLS1</v>
      </c>
    </row>
    <row r="63" spans="1:36" ht="118.95" customHeight="1" x14ac:dyDescent="0.3">
      <c r="A63" s="1">
        <f t="shared" si="1"/>
        <v>188</v>
      </c>
      <c r="B63" cm="1">
        <f t="array" ref="B63">IFERROR(MAX(--_xlfn.TEXTSPLIT(C63,";")),0)</f>
        <v>50</v>
      </c>
      <c r="C63" t="s">
        <v>1791</v>
      </c>
      <c r="D63" s="1" t="s">
        <v>406</v>
      </c>
      <c r="E63" s="1" t="s">
        <v>407</v>
      </c>
      <c r="F63" s="1">
        <v>1</v>
      </c>
      <c r="G63" s="1" t="s">
        <v>408</v>
      </c>
      <c r="H63" s="1" t="s">
        <v>409</v>
      </c>
      <c r="I63" s="1" t="s">
        <v>385</v>
      </c>
      <c r="J63" s="1" t="s">
        <v>112</v>
      </c>
      <c r="K63" s="1" t="s">
        <v>38</v>
      </c>
      <c r="L63" s="1" t="s">
        <v>39</v>
      </c>
      <c r="M63" s="2" t="s">
        <v>40</v>
      </c>
      <c r="N63" s="3">
        <v>2354000</v>
      </c>
      <c r="O63" s="3" t="s">
        <v>41</v>
      </c>
      <c r="P63" s="1" t="s">
        <v>410</v>
      </c>
      <c r="Q63" s="1" t="s">
        <v>133</v>
      </c>
      <c r="R63" s="3" t="s">
        <v>123</v>
      </c>
      <c r="S63" s="3" t="s">
        <v>301</v>
      </c>
      <c r="T63" s="2">
        <v>37831</v>
      </c>
      <c r="U63" s="2">
        <v>38050</v>
      </c>
      <c r="V63" s="2">
        <v>38065</v>
      </c>
      <c r="W63" s="2">
        <v>38072</v>
      </c>
      <c r="X63" s="2">
        <v>38111</v>
      </c>
      <c r="Y63" s="3" t="s">
        <v>411</v>
      </c>
      <c r="Z63" s="3" t="s">
        <v>412</v>
      </c>
      <c r="AA63" s="3" t="s">
        <v>413</v>
      </c>
      <c r="AB63" s="2">
        <v>38111</v>
      </c>
      <c r="AC63" s="2">
        <v>46934</v>
      </c>
      <c r="AD63" s="2" t="s">
        <v>49</v>
      </c>
      <c r="AE63" s="2" t="s">
        <v>50</v>
      </c>
      <c r="AF63" s="2">
        <v>39254</v>
      </c>
      <c r="AG63" s="2">
        <v>39458</v>
      </c>
      <c r="AH63" s="8">
        <v>4551832.1300000008</v>
      </c>
      <c r="AI63" s="6">
        <v>1</v>
      </c>
      <c r="AJ63" s="71" t="str">
        <f>MID(D63,5,LEN(D63)-4)</f>
        <v>CSJS1</v>
      </c>
    </row>
    <row r="64" spans="1:36" ht="118.95" customHeight="1" x14ac:dyDescent="0.3">
      <c r="A64" s="1">
        <f t="shared" si="1"/>
        <v>188</v>
      </c>
      <c r="B64" cm="1">
        <f t="array" ref="B64">IFERROR(MAX(--_xlfn.TEXTSPLIT(C64,";")),0)</f>
        <v>52</v>
      </c>
      <c r="C64" t="s">
        <v>1792</v>
      </c>
      <c r="D64" s="1" t="s">
        <v>471</v>
      </c>
      <c r="E64" s="1" t="s">
        <v>472</v>
      </c>
      <c r="F64" s="1">
        <v>1</v>
      </c>
      <c r="G64" s="1" t="s">
        <v>473</v>
      </c>
      <c r="H64" s="1" t="s">
        <v>474</v>
      </c>
      <c r="I64" s="1" t="s">
        <v>385</v>
      </c>
      <c r="J64" s="1" t="s">
        <v>112</v>
      </c>
      <c r="K64" s="1" t="s">
        <v>38</v>
      </c>
      <c r="L64" s="1" t="s">
        <v>39</v>
      </c>
      <c r="M64" s="2" t="s">
        <v>40</v>
      </c>
      <c r="N64" s="3">
        <v>2261000</v>
      </c>
      <c r="O64" s="3" t="s">
        <v>41</v>
      </c>
      <c r="P64" s="1" t="s">
        <v>475</v>
      </c>
      <c r="Q64" s="1" t="s">
        <v>43</v>
      </c>
      <c r="R64" s="3" t="s">
        <v>123</v>
      </c>
      <c r="S64" s="3" t="s">
        <v>152</v>
      </c>
      <c r="T64" s="2">
        <v>38528</v>
      </c>
      <c r="U64" s="2">
        <v>38686</v>
      </c>
      <c r="V64" s="2">
        <v>38708</v>
      </c>
      <c r="W64" s="2">
        <v>38734</v>
      </c>
      <c r="X64" s="2">
        <v>38820</v>
      </c>
      <c r="Y64" s="3" t="s">
        <v>476</v>
      </c>
      <c r="Z64" s="3" t="s">
        <v>477</v>
      </c>
      <c r="AA64" s="3" t="s">
        <v>478</v>
      </c>
      <c r="AB64" s="2">
        <v>38820</v>
      </c>
      <c r="AC64" s="2">
        <v>44621</v>
      </c>
      <c r="AD64" s="2" t="s">
        <v>106</v>
      </c>
      <c r="AE64" s="2" t="s">
        <v>50</v>
      </c>
      <c r="AF64" s="2">
        <v>39520</v>
      </c>
      <c r="AG64" s="2">
        <v>39723</v>
      </c>
      <c r="AH64" s="5">
        <v>3111969.2500000005</v>
      </c>
      <c r="AI64" s="6">
        <v>1</v>
      </c>
      <c r="AJ64" s="71" t="str">
        <f>MID(D64,5,LEN(D64)-4)</f>
        <v>CTSR1</v>
      </c>
    </row>
    <row r="65" spans="1:36" ht="118.95" customHeight="1" x14ac:dyDescent="0.3">
      <c r="A65" s="1">
        <f t="shared" si="1"/>
        <v>188</v>
      </c>
      <c r="B65" cm="1">
        <f t="array" ref="B65">IFERROR(MAX(--_xlfn.TEXTSPLIT(C65,";")),0)</f>
        <v>53</v>
      </c>
      <c r="C65" t="s">
        <v>1793</v>
      </c>
      <c r="D65" s="1" t="s">
        <v>455</v>
      </c>
      <c r="E65" s="1" t="s">
        <v>456</v>
      </c>
      <c r="F65" s="1">
        <v>1</v>
      </c>
      <c r="G65" s="1" t="s">
        <v>457</v>
      </c>
      <c r="H65" s="1" t="s">
        <v>458</v>
      </c>
      <c r="I65" s="1" t="s">
        <v>385</v>
      </c>
      <c r="J65" s="1" t="s">
        <v>112</v>
      </c>
      <c r="K65" s="1" t="s">
        <v>38</v>
      </c>
      <c r="L65" s="1" t="s">
        <v>39</v>
      </c>
      <c r="M65" s="2" t="s">
        <v>40</v>
      </c>
      <c r="N65" s="3">
        <v>770000</v>
      </c>
      <c r="O65" s="3" t="s">
        <v>41</v>
      </c>
      <c r="P65" s="1" t="s">
        <v>459</v>
      </c>
      <c r="Q65" s="1" t="s">
        <v>43</v>
      </c>
      <c r="R65" s="3" t="s">
        <v>123</v>
      </c>
      <c r="S65" s="3" t="s">
        <v>152</v>
      </c>
      <c r="T65" s="2">
        <v>38255</v>
      </c>
      <c r="U65" s="2">
        <v>38380</v>
      </c>
      <c r="V65" s="2">
        <v>38405</v>
      </c>
      <c r="W65" s="2">
        <v>38433</v>
      </c>
      <c r="X65" s="2">
        <v>38505</v>
      </c>
      <c r="Y65" s="3" t="s">
        <v>460</v>
      </c>
      <c r="Z65" s="3" t="s">
        <v>461</v>
      </c>
      <c r="AA65" s="3" t="s">
        <v>462</v>
      </c>
      <c r="AB65" s="2">
        <v>38505</v>
      </c>
      <c r="AC65" s="2">
        <v>44165</v>
      </c>
      <c r="AD65" s="2" t="s">
        <v>106</v>
      </c>
      <c r="AE65" s="2" t="s">
        <v>50</v>
      </c>
      <c r="AF65" s="2">
        <v>39052</v>
      </c>
      <c r="AG65" s="2">
        <v>39430</v>
      </c>
      <c r="AH65" s="5">
        <v>846695.53999999992</v>
      </c>
      <c r="AI65" s="6">
        <v>1</v>
      </c>
      <c r="AJ65" s="71" t="str">
        <f>MID(D65,5,LEN(D65)-4)</f>
        <v>CVSR1</v>
      </c>
    </row>
    <row r="66" spans="1:36" ht="118.95" customHeight="1" x14ac:dyDescent="0.3">
      <c r="A66" s="1">
        <f t="shared" ref="A66:A97" si="2">MAX($B$2:$B$128)</f>
        <v>188</v>
      </c>
      <c r="B66" cm="1">
        <f t="array" ref="B66">IFERROR(MAX(--_xlfn.TEXTSPLIT(C66,";")),0)</f>
        <v>54</v>
      </c>
      <c r="C66" t="s">
        <v>1794</v>
      </c>
      <c r="D66" s="1" t="s">
        <v>431</v>
      </c>
      <c r="E66" s="1" t="s">
        <v>1861</v>
      </c>
      <c r="F66" s="1">
        <v>1</v>
      </c>
      <c r="G66" s="1" t="s">
        <v>432</v>
      </c>
      <c r="H66" s="1" t="s">
        <v>433</v>
      </c>
      <c r="I66" s="1" t="s">
        <v>263</v>
      </c>
      <c r="J66" s="1" t="s">
        <v>434</v>
      </c>
      <c r="K66" s="1" t="s">
        <v>38</v>
      </c>
      <c r="L66" s="1" t="s">
        <v>39</v>
      </c>
      <c r="M66" s="2" t="s">
        <v>40</v>
      </c>
      <c r="N66" s="3">
        <v>4200000</v>
      </c>
      <c r="O66" s="3" t="s">
        <v>41</v>
      </c>
      <c r="P66" s="1" t="s">
        <v>435</v>
      </c>
      <c r="Q66" s="1" t="s">
        <v>133</v>
      </c>
      <c r="R66" s="3" t="s">
        <v>44</v>
      </c>
      <c r="S66" s="3" t="s">
        <v>301</v>
      </c>
      <c r="T66" s="2">
        <v>38014</v>
      </c>
      <c r="U66" s="2">
        <v>38303</v>
      </c>
      <c r="V66" s="2">
        <v>38331</v>
      </c>
      <c r="W66" s="2">
        <v>38469</v>
      </c>
      <c r="X66" s="2">
        <v>38537</v>
      </c>
      <c r="Y66" s="3" t="s">
        <v>436</v>
      </c>
      <c r="Z66" s="3" t="s">
        <v>437</v>
      </c>
      <c r="AA66" s="3" t="s">
        <v>438</v>
      </c>
      <c r="AB66" s="2">
        <v>38537</v>
      </c>
      <c r="AC66" s="2">
        <v>50348</v>
      </c>
      <c r="AD66" s="2" t="s">
        <v>49</v>
      </c>
      <c r="AE66" s="2" t="s">
        <v>50</v>
      </c>
      <c r="AF66" s="2">
        <v>43780</v>
      </c>
      <c r="AG66" s="2">
        <v>44081</v>
      </c>
      <c r="AH66" s="8">
        <v>5931101.8199999994</v>
      </c>
      <c r="AI66" s="6">
        <v>1</v>
      </c>
      <c r="AJ66" s="71" t="str">
        <f>MID(D66,5,LEN(D66)-4)</f>
        <v>ECVI1</v>
      </c>
    </row>
    <row r="67" spans="1:36" ht="118.95" customHeight="1" x14ac:dyDescent="0.3">
      <c r="A67" s="1">
        <f t="shared" si="2"/>
        <v>188</v>
      </c>
      <c r="B67" cm="1">
        <f t="array" ref="B67">IFERROR(MAX(--_xlfn.TEXTSPLIT(C67,";")),0)</f>
        <v>55</v>
      </c>
      <c r="C67" t="s">
        <v>1795</v>
      </c>
      <c r="D67" s="1" t="s">
        <v>261</v>
      </c>
      <c r="E67" s="1" t="s">
        <v>1862</v>
      </c>
      <c r="F67" s="1">
        <v>1</v>
      </c>
      <c r="G67" s="1" t="s">
        <v>262</v>
      </c>
      <c r="H67" s="1">
        <v>0</v>
      </c>
      <c r="I67" s="1" t="s">
        <v>263</v>
      </c>
      <c r="J67" s="1" t="s">
        <v>175</v>
      </c>
      <c r="K67" s="1" t="s">
        <v>38</v>
      </c>
      <c r="L67" s="1" t="s">
        <v>39</v>
      </c>
      <c r="M67" s="2" t="s">
        <v>40</v>
      </c>
      <c r="N67" s="3">
        <v>1319600</v>
      </c>
      <c r="O67" s="3" t="s">
        <v>41</v>
      </c>
      <c r="P67" s="1" t="s">
        <v>264</v>
      </c>
      <c r="Q67" s="1" t="s">
        <v>43</v>
      </c>
      <c r="R67" s="3" t="s">
        <v>123</v>
      </c>
      <c r="S67" s="3" t="s">
        <v>265</v>
      </c>
      <c r="T67" s="2">
        <v>36401</v>
      </c>
      <c r="U67" s="2">
        <v>36979</v>
      </c>
      <c r="V67" s="2">
        <v>37008</v>
      </c>
      <c r="W67" s="2">
        <v>37081</v>
      </c>
      <c r="X67" s="2">
        <v>37172</v>
      </c>
      <c r="Y67" s="3" t="s">
        <v>266</v>
      </c>
      <c r="Z67" s="3" t="s">
        <v>267</v>
      </c>
      <c r="AA67" s="50" t="s">
        <v>268</v>
      </c>
      <c r="AB67" s="2">
        <v>37164</v>
      </c>
      <c r="AC67" s="2">
        <v>38699</v>
      </c>
      <c r="AD67" s="2" t="s">
        <v>49</v>
      </c>
      <c r="AE67" s="2" t="s">
        <v>269</v>
      </c>
      <c r="AF67" s="2" t="s">
        <v>269</v>
      </c>
      <c r="AG67" s="2" t="s">
        <v>269</v>
      </c>
      <c r="AH67" s="5">
        <v>232211.22</v>
      </c>
      <c r="AI67" s="6">
        <v>0</v>
      </c>
      <c r="AJ67" s="71" t="str">
        <f>MID(D67,5,LEN(D67)-4)</f>
        <v>EEBA1</v>
      </c>
    </row>
    <row r="68" spans="1:36" ht="118.95" customHeight="1" x14ac:dyDescent="0.3">
      <c r="A68" s="1">
        <f t="shared" si="2"/>
        <v>188</v>
      </c>
      <c r="B68" cm="1">
        <f t="array" ref="B68">IFERROR(MAX(--_xlfn.TEXTSPLIT(C68,";")),0)</f>
        <v>56</v>
      </c>
      <c r="C68" t="s">
        <v>1796</v>
      </c>
      <c r="D68" s="1" t="s">
        <v>390</v>
      </c>
      <c r="E68" s="1" t="s">
        <v>391</v>
      </c>
      <c r="F68" s="1">
        <v>1</v>
      </c>
      <c r="G68" s="1" t="s">
        <v>392</v>
      </c>
      <c r="H68" s="1" t="s">
        <v>393</v>
      </c>
      <c r="I68" s="1" t="s">
        <v>385</v>
      </c>
      <c r="J68" s="1" t="s">
        <v>112</v>
      </c>
      <c r="K68" s="1" t="s">
        <v>38</v>
      </c>
      <c r="L68" s="1" t="s">
        <v>39</v>
      </c>
      <c r="M68" s="2" t="s">
        <v>40</v>
      </c>
      <c r="N68" s="3">
        <v>1150000</v>
      </c>
      <c r="O68" s="3" t="s">
        <v>41</v>
      </c>
      <c r="P68" s="1" t="s">
        <v>394</v>
      </c>
      <c r="Q68" s="1" t="s">
        <v>133</v>
      </c>
      <c r="R68" s="3" t="s">
        <v>123</v>
      </c>
      <c r="S68" s="3" t="s">
        <v>200</v>
      </c>
      <c r="T68" s="2">
        <v>37773</v>
      </c>
      <c r="U68" s="2">
        <v>37986</v>
      </c>
      <c r="V68" s="2">
        <v>38015</v>
      </c>
      <c r="W68" s="2">
        <v>38072</v>
      </c>
      <c r="X68" s="2">
        <v>38138</v>
      </c>
      <c r="Y68" s="3" t="s">
        <v>395</v>
      </c>
      <c r="Z68" s="3" t="s">
        <v>396</v>
      </c>
      <c r="AA68" s="3" t="s">
        <v>397</v>
      </c>
      <c r="AB68" s="2">
        <v>38138</v>
      </c>
      <c r="AC68" s="2">
        <v>46532</v>
      </c>
      <c r="AD68" s="2" t="s">
        <v>49</v>
      </c>
      <c r="AE68" s="2" t="s">
        <v>50</v>
      </c>
      <c r="AF68" s="2">
        <v>39227</v>
      </c>
      <c r="AG68" s="2">
        <v>39470</v>
      </c>
      <c r="AH68" s="8">
        <v>2009130.69</v>
      </c>
      <c r="AI68" s="6">
        <v>1</v>
      </c>
      <c r="AJ68" s="71" t="str">
        <f>MID(D68,5,LEN(D68)-4)</f>
        <v>EIMC1</v>
      </c>
    </row>
    <row r="69" spans="1:36" ht="118.95" customHeight="1" x14ac:dyDescent="0.3">
      <c r="A69" s="1">
        <f t="shared" si="2"/>
        <v>188</v>
      </c>
      <c r="B69" cm="1">
        <f t="array" ref="B69">IFERROR(MAX(--_xlfn.TEXTSPLIT(C69,";")),0)</f>
        <v>57</v>
      </c>
      <c r="C69" t="s">
        <v>1797</v>
      </c>
      <c r="D69" s="1" t="s">
        <v>785</v>
      </c>
      <c r="E69" s="1" t="s">
        <v>1863</v>
      </c>
      <c r="F69" s="1">
        <v>1</v>
      </c>
      <c r="G69" s="1" t="s">
        <v>786</v>
      </c>
      <c r="H69" s="1" t="s">
        <v>787</v>
      </c>
      <c r="I69" s="1" t="s">
        <v>263</v>
      </c>
      <c r="J69" s="1" t="s">
        <v>37</v>
      </c>
      <c r="K69" s="1" t="s">
        <v>38</v>
      </c>
      <c r="L69" s="1" t="s">
        <v>39</v>
      </c>
      <c r="M69" s="2" t="s">
        <v>40</v>
      </c>
      <c r="N69" s="3">
        <v>3880000</v>
      </c>
      <c r="O69" s="3" t="s">
        <v>41</v>
      </c>
      <c r="P69" s="1" t="s">
        <v>788</v>
      </c>
      <c r="Q69" s="1" t="s">
        <v>693</v>
      </c>
      <c r="R69" s="3" t="s">
        <v>44</v>
      </c>
      <c r="S69" s="3" t="s">
        <v>301</v>
      </c>
      <c r="T69" s="2">
        <v>42944</v>
      </c>
      <c r="U69" s="2">
        <v>43089</v>
      </c>
      <c r="V69" s="2">
        <v>43118</v>
      </c>
      <c r="W69" s="2">
        <v>43165</v>
      </c>
      <c r="X69" s="2">
        <v>43224</v>
      </c>
      <c r="Y69" s="3" t="s">
        <v>789</v>
      </c>
      <c r="Z69" s="3" t="s">
        <v>790</v>
      </c>
      <c r="AA69" s="3" t="s">
        <v>791</v>
      </c>
      <c r="AB69" s="2">
        <v>43224</v>
      </c>
      <c r="AC69" s="2">
        <v>50256</v>
      </c>
      <c r="AD69" s="2" t="s">
        <v>49</v>
      </c>
      <c r="AE69" s="2">
        <v>43731</v>
      </c>
      <c r="AF69" s="2" t="s">
        <v>697</v>
      </c>
      <c r="AG69" s="2" t="s">
        <v>697</v>
      </c>
      <c r="AH69" s="48">
        <v>3880000</v>
      </c>
      <c r="AI69" s="13">
        <v>0.21240000000000001</v>
      </c>
      <c r="AJ69" s="71" t="str">
        <f>MID(D69,5,LEN(D69)-4)</f>
        <v>ELPA1</v>
      </c>
    </row>
    <row r="70" spans="1:36" ht="118.95" customHeight="1" x14ac:dyDescent="0.3">
      <c r="A70" s="1">
        <f t="shared" si="2"/>
        <v>188</v>
      </c>
      <c r="B70" cm="1">
        <f t="array" ref="B70">IFERROR(MAX(--_xlfn.TEXTSPLIT(C70,";")),0)</f>
        <v>58</v>
      </c>
      <c r="C70" t="s">
        <v>1798</v>
      </c>
      <c r="D70" s="47" t="s">
        <v>1026</v>
      </c>
      <c r="E70" s="47" t="s">
        <v>1864</v>
      </c>
      <c r="F70" s="1">
        <v>1</v>
      </c>
      <c r="G70" s="47" t="s">
        <v>1027</v>
      </c>
      <c r="H70" s="1" t="s">
        <v>1028</v>
      </c>
      <c r="I70" s="1" t="s">
        <v>309</v>
      </c>
      <c r="J70" s="1" t="s">
        <v>344</v>
      </c>
      <c r="K70" s="1" t="s">
        <v>38</v>
      </c>
      <c r="L70" s="1" t="s">
        <v>39</v>
      </c>
      <c r="M70" s="2"/>
      <c r="N70" s="3">
        <v>7120300</v>
      </c>
      <c r="O70" s="1" t="s">
        <v>41</v>
      </c>
      <c r="P70" s="1" t="s">
        <v>1029</v>
      </c>
      <c r="Q70" s="1" t="s">
        <v>693</v>
      </c>
      <c r="R70" s="1" t="s">
        <v>44</v>
      </c>
      <c r="S70" s="1" t="s">
        <v>1030</v>
      </c>
      <c r="T70" s="2">
        <v>45617</v>
      </c>
      <c r="U70" s="2">
        <v>45867</v>
      </c>
      <c r="V70" s="2">
        <v>45889</v>
      </c>
      <c r="W70" s="2">
        <v>45953</v>
      </c>
      <c r="X70" s="2">
        <v>46178</v>
      </c>
      <c r="Y70" s="1" t="s">
        <v>1031</v>
      </c>
      <c r="Z70" s="1" t="s">
        <v>1032</v>
      </c>
      <c r="AA70" s="1" t="s">
        <v>1033</v>
      </c>
      <c r="AB70" s="2">
        <v>46027</v>
      </c>
      <c r="AC70" s="2">
        <v>55217</v>
      </c>
      <c r="AD70" s="1" t="s">
        <v>106</v>
      </c>
      <c r="AE70" s="1" t="s">
        <v>855</v>
      </c>
      <c r="AF70" s="1" t="s">
        <v>697</v>
      </c>
      <c r="AG70" s="1" t="s">
        <v>697</v>
      </c>
      <c r="AH70" s="22">
        <v>7120300</v>
      </c>
      <c r="AI70" s="23">
        <v>0</v>
      </c>
      <c r="AJ70" s="71" t="str">
        <f>MID(D70,5,LEN(D70)-4)</f>
        <v>EPCO1</v>
      </c>
    </row>
    <row r="71" spans="1:36" ht="118.95" customHeight="1" x14ac:dyDescent="0.3">
      <c r="A71" s="1">
        <f t="shared" si="2"/>
        <v>188</v>
      </c>
      <c r="B71" cm="1">
        <f t="array" ref="B71">IFERROR(MAX(--_xlfn.TEXTSPLIT(C71,";")),0)</f>
        <v>59</v>
      </c>
      <c r="C71" t="s">
        <v>1799</v>
      </c>
      <c r="D71" s="1" t="s">
        <v>714</v>
      </c>
      <c r="E71" s="1" t="s">
        <v>1865</v>
      </c>
      <c r="F71" s="1">
        <v>1</v>
      </c>
      <c r="G71" s="1" t="s">
        <v>715</v>
      </c>
      <c r="H71" s="1" t="s">
        <v>716</v>
      </c>
      <c r="I71" s="1" t="s">
        <v>263</v>
      </c>
      <c r="J71" s="1" t="s">
        <v>717</v>
      </c>
      <c r="K71" s="1" t="s">
        <v>38</v>
      </c>
      <c r="L71" s="1" t="s">
        <v>39</v>
      </c>
      <c r="M71" s="2" t="s">
        <v>40</v>
      </c>
      <c r="N71" s="3">
        <v>9410000</v>
      </c>
      <c r="O71" s="3" t="s">
        <v>41</v>
      </c>
      <c r="P71" s="1" t="s">
        <v>718</v>
      </c>
      <c r="Q71" s="1" t="s">
        <v>43</v>
      </c>
      <c r="R71" s="3" t="s">
        <v>123</v>
      </c>
      <c r="S71" s="3" t="s">
        <v>265</v>
      </c>
      <c r="T71" s="2">
        <v>42093</v>
      </c>
      <c r="U71" s="2">
        <v>42355</v>
      </c>
      <c r="V71" s="2">
        <v>42383</v>
      </c>
      <c r="W71" s="2">
        <v>42450</v>
      </c>
      <c r="X71" s="2">
        <v>42543</v>
      </c>
      <c r="Y71" s="3" t="s">
        <v>719</v>
      </c>
      <c r="Z71" s="3" t="s">
        <v>720</v>
      </c>
      <c r="AA71" s="3" t="s">
        <v>721</v>
      </c>
      <c r="AB71" s="2">
        <v>42543</v>
      </c>
      <c r="AC71" s="2">
        <v>44478</v>
      </c>
      <c r="AD71" s="2" t="s">
        <v>49</v>
      </c>
      <c r="AE71" s="2" t="s">
        <v>269</v>
      </c>
      <c r="AF71" s="2" t="s">
        <v>269</v>
      </c>
      <c r="AG71" s="2" t="s">
        <v>269</v>
      </c>
      <c r="AH71" s="5">
        <v>512516</v>
      </c>
      <c r="AI71" s="6">
        <v>0</v>
      </c>
      <c r="AJ71" s="71" t="str">
        <f>MID(D71,5,LEN(D71)-4)</f>
        <v>EPUN1</v>
      </c>
    </row>
    <row r="72" spans="1:36" ht="150" customHeight="1" x14ac:dyDescent="0.3">
      <c r="A72" s="1">
        <f t="shared" si="2"/>
        <v>188</v>
      </c>
      <c r="B72" cm="1">
        <f t="array" ref="B72">IFERROR(MAX(--_xlfn.TEXTSPLIT(C72,";")),0)</f>
        <v>60</v>
      </c>
      <c r="C72" t="s">
        <v>1800</v>
      </c>
      <c r="D72" s="1" t="s">
        <v>422</v>
      </c>
      <c r="E72" s="1" t="s">
        <v>423</v>
      </c>
      <c r="F72" s="1">
        <v>1</v>
      </c>
      <c r="G72" s="1" t="s">
        <v>424</v>
      </c>
      <c r="H72" s="1" t="s">
        <v>425</v>
      </c>
      <c r="I72" s="1" t="s">
        <v>385</v>
      </c>
      <c r="J72" s="1" t="s">
        <v>112</v>
      </c>
      <c r="K72" s="1" t="s">
        <v>38</v>
      </c>
      <c r="L72" s="1" t="s">
        <v>39</v>
      </c>
      <c r="M72" s="2" t="s">
        <v>40</v>
      </c>
      <c r="N72" s="3">
        <v>245000</v>
      </c>
      <c r="O72" s="3" t="s">
        <v>41</v>
      </c>
      <c r="P72" s="1" t="s">
        <v>426</v>
      </c>
      <c r="Q72" s="1" t="s">
        <v>133</v>
      </c>
      <c r="R72" s="3" t="s">
        <v>44</v>
      </c>
      <c r="S72" s="3" t="s">
        <v>427</v>
      </c>
      <c r="T72" s="2">
        <v>37994</v>
      </c>
      <c r="U72" s="2">
        <v>38126</v>
      </c>
      <c r="V72" s="2">
        <v>38147</v>
      </c>
      <c r="W72" s="2">
        <v>38177</v>
      </c>
      <c r="X72" s="2">
        <v>38234</v>
      </c>
      <c r="Y72" s="3" t="s">
        <v>428</v>
      </c>
      <c r="Z72" s="3" t="s">
        <v>429</v>
      </c>
      <c r="AA72" s="3" t="s">
        <v>430</v>
      </c>
      <c r="AB72" s="2">
        <v>38234</v>
      </c>
      <c r="AC72" s="2">
        <v>46269</v>
      </c>
      <c r="AD72" s="2" t="s">
        <v>49</v>
      </c>
      <c r="AE72" s="2" t="s">
        <v>50</v>
      </c>
      <c r="AF72" s="2">
        <v>38782</v>
      </c>
      <c r="AG72" s="2">
        <v>38908</v>
      </c>
      <c r="AH72" s="8">
        <v>447674.44000000006</v>
      </c>
      <c r="AI72" s="6">
        <v>1</v>
      </c>
      <c r="AJ72" s="71" t="str">
        <f>MID(D72,5,LEN(D72)-4)</f>
        <v>ETPO1</v>
      </c>
    </row>
    <row r="73" spans="1:36" ht="118.95" customHeight="1" x14ac:dyDescent="0.3">
      <c r="A73" s="1">
        <f t="shared" si="2"/>
        <v>188</v>
      </c>
      <c r="B73" cm="1">
        <f t="array" ref="B73">IFERROR(MAX(--_xlfn.TEXTSPLIT(C73,";")),0)</f>
        <v>98</v>
      </c>
      <c r="C73" t="s">
        <v>1801</v>
      </c>
      <c r="D73" s="1" t="s">
        <v>463</v>
      </c>
      <c r="E73" s="1" t="s">
        <v>464</v>
      </c>
      <c r="F73" s="1">
        <v>1</v>
      </c>
      <c r="G73" s="1" t="s">
        <v>465</v>
      </c>
      <c r="H73" s="1" t="s">
        <v>466</v>
      </c>
      <c r="I73" s="1" t="s">
        <v>385</v>
      </c>
      <c r="J73" s="1" t="s">
        <v>112</v>
      </c>
      <c r="K73" s="1" t="s">
        <v>38</v>
      </c>
      <c r="L73" s="1" t="s">
        <v>39</v>
      </c>
      <c r="M73" s="2" t="s">
        <v>40</v>
      </c>
      <c r="N73" s="3">
        <v>989500</v>
      </c>
      <c r="O73" s="3" t="s">
        <v>41</v>
      </c>
      <c r="P73" s="1" t="s">
        <v>467</v>
      </c>
      <c r="Q73" s="1" t="s">
        <v>43</v>
      </c>
      <c r="R73" s="3" t="s">
        <v>123</v>
      </c>
      <c r="S73" s="3" t="s">
        <v>152</v>
      </c>
      <c r="T73" s="2">
        <v>38521</v>
      </c>
      <c r="U73" s="2">
        <v>38695</v>
      </c>
      <c r="V73" s="2">
        <v>38720</v>
      </c>
      <c r="W73" s="2">
        <v>38743</v>
      </c>
      <c r="X73" s="2">
        <v>38820</v>
      </c>
      <c r="Y73" s="3" t="s">
        <v>468</v>
      </c>
      <c r="Z73" s="3" t="s">
        <v>469</v>
      </c>
      <c r="AA73" s="3" t="s">
        <v>470</v>
      </c>
      <c r="AB73" s="2">
        <v>38820</v>
      </c>
      <c r="AC73" s="2">
        <v>44298</v>
      </c>
      <c r="AD73" s="2" t="s">
        <v>49</v>
      </c>
      <c r="AE73" s="2" t="s">
        <v>50</v>
      </c>
      <c r="AF73" s="2">
        <v>39232</v>
      </c>
      <c r="AG73" s="2">
        <v>39483</v>
      </c>
      <c r="AH73" s="5">
        <v>1584805.25</v>
      </c>
      <c r="AI73" s="6">
        <v>1</v>
      </c>
      <c r="AJ73" s="71" t="str">
        <f>MID(D73,5,LEN(D73)-4)</f>
        <v>ETTT1</v>
      </c>
    </row>
    <row r="74" spans="1:36" ht="118.95" customHeight="1" x14ac:dyDescent="0.3">
      <c r="A74" s="1">
        <f t="shared" si="2"/>
        <v>188</v>
      </c>
      <c r="B74" cm="1">
        <f t="array" ref="B74">IFERROR(MAX(--_xlfn.TEXTSPLIT(C74,";")),0)</f>
        <v>99</v>
      </c>
      <c r="C74" t="s">
        <v>1802</v>
      </c>
      <c r="D74" s="1" t="s">
        <v>872</v>
      </c>
      <c r="E74" s="1" t="s">
        <v>1866</v>
      </c>
      <c r="F74" s="1">
        <v>1</v>
      </c>
      <c r="G74" s="1" t="s">
        <v>873</v>
      </c>
      <c r="H74" s="1" t="s">
        <v>874</v>
      </c>
      <c r="I74" s="1" t="s">
        <v>535</v>
      </c>
      <c r="J74" s="1" t="s">
        <v>112</v>
      </c>
      <c r="K74" s="1" t="s">
        <v>38</v>
      </c>
      <c r="L74" s="1" t="s">
        <v>39</v>
      </c>
      <c r="M74" s="2" t="s">
        <v>40</v>
      </c>
      <c r="N74" s="3">
        <v>2944034</v>
      </c>
      <c r="O74" s="3" t="s">
        <v>41</v>
      </c>
      <c r="P74" s="1" t="s">
        <v>875</v>
      </c>
      <c r="Q74" s="1" t="s">
        <v>693</v>
      </c>
      <c r="R74" s="3" t="s">
        <v>123</v>
      </c>
      <c r="S74" s="3" t="s">
        <v>301</v>
      </c>
      <c r="T74" s="2">
        <v>43951</v>
      </c>
      <c r="U74" s="2">
        <v>44123</v>
      </c>
      <c r="V74" s="2">
        <v>44145</v>
      </c>
      <c r="W74" s="2">
        <v>44194</v>
      </c>
      <c r="X74" s="2">
        <v>44282</v>
      </c>
      <c r="Y74" s="3" t="s">
        <v>876</v>
      </c>
      <c r="Z74" s="3" t="s">
        <v>877</v>
      </c>
      <c r="AA74" s="3" t="s">
        <v>878</v>
      </c>
      <c r="AB74" s="2">
        <v>44282</v>
      </c>
      <c r="AC74" s="2">
        <v>51634</v>
      </c>
      <c r="AD74" s="2" t="s">
        <v>106</v>
      </c>
      <c r="AE74" s="2">
        <v>44986</v>
      </c>
      <c r="AF74" s="2" t="s">
        <v>697</v>
      </c>
      <c r="AG74" s="2" t="s">
        <v>697</v>
      </c>
      <c r="AH74" s="5">
        <v>2944034</v>
      </c>
      <c r="AI74" s="13">
        <v>0.82579999999999998</v>
      </c>
      <c r="AJ74" s="71" t="str">
        <f>MID(D74,5,LEN(D74)-4)</f>
        <v>HBUP1</v>
      </c>
    </row>
    <row r="75" spans="1:36" ht="118.95" customHeight="1" x14ac:dyDescent="0.3">
      <c r="A75" s="1">
        <f t="shared" si="2"/>
        <v>188</v>
      </c>
      <c r="B75" cm="1">
        <f t="array" ref="B75">IFERROR(MAX(--_xlfn.TEXTSPLIT(C75,";")),0)</f>
        <v>100</v>
      </c>
      <c r="C75" t="s">
        <v>1803</v>
      </c>
      <c r="D75" s="1" t="s">
        <v>954</v>
      </c>
      <c r="E75" s="1" t="s">
        <v>955</v>
      </c>
      <c r="F75" s="1">
        <v>1</v>
      </c>
      <c r="G75" s="1" t="s">
        <v>956</v>
      </c>
      <c r="H75" s="1" t="s">
        <v>957</v>
      </c>
      <c r="I75" s="1" t="s">
        <v>535</v>
      </c>
      <c r="J75" s="1" t="s">
        <v>112</v>
      </c>
      <c r="K75" s="1" t="s">
        <v>38</v>
      </c>
      <c r="L75" s="1" t="s">
        <v>39</v>
      </c>
      <c r="M75" s="2" t="s">
        <v>40</v>
      </c>
      <c r="N75" s="3">
        <v>3509321</v>
      </c>
      <c r="O75" s="3" t="s">
        <v>41</v>
      </c>
      <c r="P75" s="1" t="s">
        <v>958</v>
      </c>
      <c r="Q75" s="1" t="s">
        <v>693</v>
      </c>
      <c r="R75" s="3" t="s">
        <v>123</v>
      </c>
      <c r="S75" s="3" t="s">
        <v>301</v>
      </c>
      <c r="T75" s="2">
        <v>44559</v>
      </c>
      <c r="U75" s="2">
        <v>44831</v>
      </c>
      <c r="V75" s="2">
        <v>44852</v>
      </c>
      <c r="W75" s="2">
        <v>44949</v>
      </c>
      <c r="X75" s="2">
        <v>45070</v>
      </c>
      <c r="Y75" s="3" t="s">
        <v>959</v>
      </c>
      <c r="Z75" s="3" t="s">
        <v>960</v>
      </c>
      <c r="AA75" s="3" t="s">
        <v>961</v>
      </c>
      <c r="AB75" s="2">
        <v>45070</v>
      </c>
      <c r="AC75" s="2">
        <v>53330</v>
      </c>
      <c r="AD75" s="2" t="s">
        <v>106</v>
      </c>
      <c r="AE75" s="2" t="s">
        <v>855</v>
      </c>
      <c r="AF75" s="2" t="s">
        <v>697</v>
      </c>
      <c r="AG75" s="2" t="s">
        <v>697</v>
      </c>
      <c r="AH75" s="5">
        <v>3509321</v>
      </c>
      <c r="AI75" s="6">
        <v>0</v>
      </c>
      <c r="AJ75" s="71" t="str">
        <f>MID(D75,5,LEN(D75)-4)</f>
        <v>HINN1</v>
      </c>
    </row>
    <row r="76" spans="1:36" ht="118.95" customHeight="1" x14ac:dyDescent="0.3">
      <c r="A76" s="1">
        <f t="shared" si="2"/>
        <v>188</v>
      </c>
      <c r="B76" cm="1">
        <f t="array" ref="B76">IFERROR(MAX(--_xlfn.TEXTSPLIT(C76,";")),0)</f>
        <v>104</v>
      </c>
      <c r="C76" t="s">
        <v>1804</v>
      </c>
      <c r="D76" s="1" t="s">
        <v>879</v>
      </c>
      <c r="E76" s="1" t="s">
        <v>1867</v>
      </c>
      <c r="F76" s="1">
        <v>1</v>
      </c>
      <c r="G76" s="1" t="s">
        <v>880</v>
      </c>
      <c r="H76" s="1" t="s">
        <v>881</v>
      </c>
      <c r="I76" s="1" t="s">
        <v>535</v>
      </c>
      <c r="J76" s="1" t="s">
        <v>55</v>
      </c>
      <c r="K76" s="1" t="s">
        <v>38</v>
      </c>
      <c r="L76" s="1" t="s">
        <v>39</v>
      </c>
      <c r="M76" s="2" t="s">
        <v>40</v>
      </c>
      <c r="N76" s="3">
        <v>7754848</v>
      </c>
      <c r="O76" s="3" t="s">
        <v>41</v>
      </c>
      <c r="P76" s="1" t="s">
        <v>882</v>
      </c>
      <c r="Q76" s="1" t="s">
        <v>693</v>
      </c>
      <c r="R76" s="3" t="s">
        <v>123</v>
      </c>
      <c r="S76" s="3" t="s">
        <v>301</v>
      </c>
      <c r="T76" s="2">
        <v>44064</v>
      </c>
      <c r="U76" s="2">
        <v>44330</v>
      </c>
      <c r="V76" s="2">
        <v>44350</v>
      </c>
      <c r="W76" s="2">
        <v>44454</v>
      </c>
      <c r="X76" s="2">
        <v>44537</v>
      </c>
      <c r="Y76" s="3" t="s">
        <v>883</v>
      </c>
      <c r="Z76" s="3" t="s">
        <v>884</v>
      </c>
      <c r="AA76" s="3" t="s">
        <v>885</v>
      </c>
      <c r="AB76" s="2">
        <v>44537</v>
      </c>
      <c r="AC76" s="2">
        <v>59147</v>
      </c>
      <c r="AD76" s="2" t="s">
        <v>106</v>
      </c>
      <c r="AE76" s="2">
        <v>45010</v>
      </c>
      <c r="AF76" s="2" t="s">
        <v>697</v>
      </c>
      <c r="AG76" s="2" t="s">
        <v>697</v>
      </c>
      <c r="AH76" s="5">
        <v>7754848</v>
      </c>
      <c r="AI76" s="6" t="s">
        <v>886</v>
      </c>
      <c r="AJ76" s="71" t="str">
        <f>MID(D76,5,LEN(D76)-4)</f>
        <v>HRBB1</v>
      </c>
    </row>
    <row r="77" spans="1:36" ht="118.95" customHeight="1" x14ac:dyDescent="0.3">
      <c r="A77" s="1">
        <f t="shared" si="2"/>
        <v>188</v>
      </c>
      <c r="B77" cm="1">
        <f t="array" ref="B77">IFERROR(MAX(--_xlfn.TEXTSPLIT(C77,";")),0)</f>
        <v>107</v>
      </c>
      <c r="C77" t="s">
        <v>1805</v>
      </c>
      <c r="D77" s="1" t="s">
        <v>863</v>
      </c>
      <c r="E77" s="1" t="s">
        <v>1868</v>
      </c>
      <c r="F77" s="1">
        <v>1</v>
      </c>
      <c r="G77" s="1" t="s">
        <v>864</v>
      </c>
      <c r="H77" s="1" t="s">
        <v>865</v>
      </c>
      <c r="I77" s="1" t="s">
        <v>535</v>
      </c>
      <c r="J77" s="1" t="s">
        <v>866</v>
      </c>
      <c r="K77" s="1" t="s">
        <v>38</v>
      </c>
      <c r="L77" s="1" t="s">
        <v>39</v>
      </c>
      <c r="M77" s="2" t="s">
        <v>40</v>
      </c>
      <c r="N77" s="3">
        <v>6634394</v>
      </c>
      <c r="O77" s="3" t="s">
        <v>41</v>
      </c>
      <c r="P77" s="1" t="s">
        <v>867</v>
      </c>
      <c r="Q77" s="1" t="s">
        <v>693</v>
      </c>
      <c r="R77" s="3" t="s">
        <v>123</v>
      </c>
      <c r="S77" s="3" t="s">
        <v>301</v>
      </c>
      <c r="T77" s="2">
        <v>43818</v>
      </c>
      <c r="U77" s="2">
        <v>44050</v>
      </c>
      <c r="V77" s="2">
        <v>44070</v>
      </c>
      <c r="W77" s="2">
        <v>44166</v>
      </c>
      <c r="X77" s="2">
        <v>44282</v>
      </c>
      <c r="Y77" s="3" t="s">
        <v>868</v>
      </c>
      <c r="Z77" s="3" t="s">
        <v>869</v>
      </c>
      <c r="AA77" s="3" t="s">
        <v>870</v>
      </c>
      <c r="AB77" s="2">
        <v>44282</v>
      </c>
      <c r="AC77" s="2">
        <v>51460</v>
      </c>
      <c r="AD77" s="2" t="s">
        <v>106</v>
      </c>
      <c r="AE77" s="2">
        <v>44960</v>
      </c>
      <c r="AF77" s="2" t="s">
        <v>697</v>
      </c>
      <c r="AG77" s="2" t="s">
        <v>697</v>
      </c>
      <c r="AH77" s="5">
        <v>6634394</v>
      </c>
      <c r="AI77" s="6" t="s">
        <v>871</v>
      </c>
      <c r="AJ77" s="71" t="str">
        <f>MID(D77,5,LEN(D77)-4)</f>
        <v>HRMA1</v>
      </c>
    </row>
    <row r="78" spans="1:36" ht="118.95" customHeight="1" x14ac:dyDescent="0.3">
      <c r="A78" s="1">
        <f t="shared" si="2"/>
        <v>188</v>
      </c>
      <c r="B78" cm="1">
        <f t="array" ref="B78">IFERROR(MAX(--_xlfn.TEXTSPLIT(C78,";")),0)</f>
        <v>109</v>
      </c>
      <c r="C78" t="s">
        <v>1806</v>
      </c>
      <c r="D78" s="1" t="s">
        <v>939</v>
      </c>
      <c r="E78" s="59" t="s">
        <v>1869</v>
      </c>
      <c r="F78" s="1">
        <v>1</v>
      </c>
      <c r="G78" s="1" t="s">
        <v>940</v>
      </c>
      <c r="H78" s="1" t="s">
        <v>941</v>
      </c>
      <c r="I78" s="1" t="s">
        <v>535</v>
      </c>
      <c r="J78" s="1" t="s">
        <v>434</v>
      </c>
      <c r="K78" s="1" t="s">
        <v>38</v>
      </c>
      <c r="L78" s="1" t="s">
        <v>39</v>
      </c>
      <c r="M78" s="2"/>
      <c r="N78" s="3">
        <v>4538569</v>
      </c>
      <c r="O78" s="3" t="s">
        <v>41</v>
      </c>
      <c r="P78" s="1" t="s">
        <v>942</v>
      </c>
      <c r="Q78" s="1" t="s">
        <v>693</v>
      </c>
      <c r="R78" s="3" t="s">
        <v>123</v>
      </c>
      <c r="S78" s="3" t="s">
        <v>301</v>
      </c>
      <c r="T78" s="2">
        <v>44497</v>
      </c>
      <c r="U78" s="2">
        <v>45163</v>
      </c>
      <c r="V78" s="2">
        <v>45184</v>
      </c>
      <c r="W78" s="2">
        <v>45237</v>
      </c>
      <c r="X78" s="2">
        <v>45373</v>
      </c>
      <c r="Y78" s="3" t="s">
        <v>943</v>
      </c>
      <c r="Z78" s="61" t="s">
        <v>944</v>
      </c>
      <c r="AA78" s="3" t="s">
        <v>945</v>
      </c>
      <c r="AB78" s="2">
        <v>45373</v>
      </c>
      <c r="AC78" s="2">
        <v>52511</v>
      </c>
      <c r="AD78" s="2" t="s">
        <v>106</v>
      </c>
      <c r="AE78" s="2" t="s">
        <v>855</v>
      </c>
      <c r="AF78" s="2" t="s">
        <v>697</v>
      </c>
      <c r="AG78" s="2" t="s">
        <v>697</v>
      </c>
      <c r="AH78" s="5">
        <v>4538569</v>
      </c>
      <c r="AI78" s="23">
        <v>0</v>
      </c>
      <c r="AJ78" s="71" t="str">
        <f>MID(D78,5,LEN(D78)-4)</f>
        <v>HROG1</v>
      </c>
    </row>
    <row r="79" spans="1:36" ht="118.95" customHeight="1" x14ac:dyDescent="0.3">
      <c r="A79" s="1">
        <f t="shared" si="2"/>
        <v>188</v>
      </c>
      <c r="B79" cm="1">
        <f t="array" ref="B79">IFERROR(MAX(--_xlfn.TEXTSPLIT(C79,";")),0)</f>
        <v>110</v>
      </c>
      <c r="C79" t="s">
        <v>1807</v>
      </c>
      <c r="D79" s="1" t="s">
        <v>917</v>
      </c>
      <c r="E79" s="1" t="s">
        <v>1870</v>
      </c>
      <c r="F79" s="1">
        <v>1</v>
      </c>
      <c r="G79" s="1" t="s">
        <v>918</v>
      </c>
      <c r="H79" s="1" t="s">
        <v>919</v>
      </c>
      <c r="I79" s="1" t="s">
        <v>535</v>
      </c>
      <c r="J79" s="1" t="s">
        <v>175</v>
      </c>
      <c r="K79" s="1" t="s">
        <v>38</v>
      </c>
      <c r="L79" s="1" t="s">
        <v>39</v>
      </c>
      <c r="M79" s="2" t="s">
        <v>40</v>
      </c>
      <c r="N79" s="3">
        <v>6528211</v>
      </c>
      <c r="O79" s="3" t="s">
        <v>41</v>
      </c>
      <c r="P79" s="1" t="s">
        <v>920</v>
      </c>
      <c r="Q79" s="1" t="s">
        <v>693</v>
      </c>
      <c r="R79" s="3" t="s">
        <v>123</v>
      </c>
      <c r="S79" s="3" t="s">
        <v>301</v>
      </c>
      <c r="T79" s="2">
        <v>44338</v>
      </c>
      <c r="U79" s="2">
        <v>44571</v>
      </c>
      <c r="V79" s="2">
        <v>44592</v>
      </c>
      <c r="W79" s="2">
        <v>44683</v>
      </c>
      <c r="X79" s="2">
        <v>44813</v>
      </c>
      <c r="Y79" s="3" t="s">
        <v>921</v>
      </c>
      <c r="Z79" s="3" t="s">
        <v>922</v>
      </c>
      <c r="AA79" s="3" t="s">
        <v>923</v>
      </c>
      <c r="AB79" s="2">
        <v>44813</v>
      </c>
      <c r="AC79" s="2">
        <v>52417</v>
      </c>
      <c r="AD79" s="2" t="s">
        <v>106</v>
      </c>
      <c r="AE79" s="2">
        <v>45246</v>
      </c>
      <c r="AF79" s="2" t="s">
        <v>697</v>
      </c>
      <c r="AG79" s="2" t="s">
        <v>697</v>
      </c>
      <c r="AH79" s="5">
        <v>6528211</v>
      </c>
      <c r="AI79" s="13">
        <v>0.2389</v>
      </c>
      <c r="AJ79" s="71" t="str">
        <f>MID(D79,5,LEN(D79)-4)</f>
        <v>HRQQ1</v>
      </c>
    </row>
    <row r="80" spans="1:36" ht="118.95" customHeight="1" x14ac:dyDescent="0.3">
      <c r="A80" s="1">
        <f t="shared" si="2"/>
        <v>188</v>
      </c>
      <c r="B80" cm="1">
        <f t="array" ref="B80">IFERROR(MAX(--_xlfn.TEXTSPLIT(C80,";")),0)</f>
        <v>111</v>
      </c>
      <c r="C80" t="s">
        <v>1808</v>
      </c>
      <c r="D80" s="1" t="s">
        <v>902</v>
      </c>
      <c r="E80" s="1" t="s">
        <v>1871</v>
      </c>
      <c r="F80" s="1">
        <v>1</v>
      </c>
      <c r="G80" s="1" t="s">
        <v>903</v>
      </c>
      <c r="H80" s="1" t="s">
        <v>904</v>
      </c>
      <c r="I80" s="1" t="s">
        <v>535</v>
      </c>
      <c r="J80" s="1" t="s">
        <v>175</v>
      </c>
      <c r="K80" s="1" t="s">
        <v>38</v>
      </c>
      <c r="L80" s="1" t="s">
        <v>39</v>
      </c>
      <c r="M80" s="2" t="s">
        <v>40</v>
      </c>
      <c r="N80" s="3">
        <v>6146350</v>
      </c>
      <c r="O80" s="3" t="s">
        <v>41</v>
      </c>
      <c r="P80" s="1" t="s">
        <v>905</v>
      </c>
      <c r="Q80" s="1" t="s">
        <v>693</v>
      </c>
      <c r="R80" s="3" t="s">
        <v>123</v>
      </c>
      <c r="S80" s="3" t="s">
        <v>301</v>
      </c>
      <c r="T80" s="2">
        <v>44282</v>
      </c>
      <c r="U80" s="2">
        <v>44484</v>
      </c>
      <c r="V80" s="2">
        <v>44505</v>
      </c>
      <c r="W80" s="2">
        <v>44566</v>
      </c>
      <c r="X80" s="2">
        <v>44609</v>
      </c>
      <c r="Y80" s="3" t="s">
        <v>906</v>
      </c>
      <c r="Z80" s="3" t="s">
        <v>907</v>
      </c>
      <c r="AA80" s="3" t="s">
        <v>908</v>
      </c>
      <c r="AB80" s="2">
        <v>44609</v>
      </c>
      <c r="AC80" s="2">
        <v>52035</v>
      </c>
      <c r="AD80" s="2" t="s">
        <v>106</v>
      </c>
      <c r="AE80" s="2">
        <v>45709</v>
      </c>
      <c r="AF80" s="2" t="s">
        <v>697</v>
      </c>
      <c r="AG80" s="2" t="s">
        <v>697</v>
      </c>
      <c r="AH80" s="5">
        <v>6146350</v>
      </c>
      <c r="AI80" s="15">
        <v>0.14749999999999999</v>
      </c>
      <c r="AJ80" s="71" t="str">
        <f>MID(D80,5,LEN(D80)-4)</f>
        <v>HRQS1</v>
      </c>
    </row>
    <row r="81" spans="1:36" ht="118.95" customHeight="1" x14ac:dyDescent="0.3">
      <c r="A81" s="1">
        <f t="shared" si="2"/>
        <v>188</v>
      </c>
      <c r="B81" cm="1">
        <f t="array" ref="B81">IFERROR(MAX(--_xlfn.TEXTSPLIT(C81,";")),0)</f>
        <v>115</v>
      </c>
      <c r="C81" t="s">
        <v>1809</v>
      </c>
      <c r="D81" s="1" t="s">
        <v>887</v>
      </c>
      <c r="E81" s="1" t="s">
        <v>1872</v>
      </c>
      <c r="F81" s="1">
        <v>1</v>
      </c>
      <c r="G81" s="1" t="s">
        <v>888</v>
      </c>
      <c r="H81" s="1" t="s">
        <v>889</v>
      </c>
      <c r="I81" s="1" t="s">
        <v>535</v>
      </c>
      <c r="J81" s="1" t="s">
        <v>198</v>
      </c>
      <c r="K81" s="1" t="s">
        <v>38</v>
      </c>
      <c r="L81" s="1" t="s">
        <v>39</v>
      </c>
      <c r="M81" s="2" t="s">
        <v>40</v>
      </c>
      <c r="N81" s="3">
        <v>7092812</v>
      </c>
      <c r="O81" s="3" t="s">
        <v>41</v>
      </c>
      <c r="P81" s="1" t="s">
        <v>890</v>
      </c>
      <c r="Q81" s="1" t="s">
        <v>693</v>
      </c>
      <c r="R81" s="3" t="s">
        <v>123</v>
      </c>
      <c r="S81" s="3" t="s">
        <v>301</v>
      </c>
      <c r="T81" s="2">
        <v>44177</v>
      </c>
      <c r="U81" s="2">
        <v>44452</v>
      </c>
      <c r="V81" s="2">
        <v>44473</v>
      </c>
      <c r="W81" s="2">
        <v>44574</v>
      </c>
      <c r="X81" s="2">
        <v>44631</v>
      </c>
      <c r="Y81" s="3" t="s">
        <v>891</v>
      </c>
      <c r="Z81" s="3" t="s">
        <v>892</v>
      </c>
      <c r="AA81" s="3" t="s">
        <v>893</v>
      </c>
      <c r="AB81" s="2">
        <v>44631</v>
      </c>
      <c r="AC81" s="2">
        <v>52729</v>
      </c>
      <c r="AD81" s="2" t="s">
        <v>106</v>
      </c>
      <c r="AE81" s="2">
        <v>45264</v>
      </c>
      <c r="AF81" s="2" t="s">
        <v>697</v>
      </c>
      <c r="AG81" s="2" t="s">
        <v>697</v>
      </c>
      <c r="AH81" s="5">
        <v>7092812</v>
      </c>
      <c r="AI81" s="16" t="s">
        <v>894</v>
      </c>
      <c r="AJ81" s="71" t="str">
        <f>MID(D81,5,LEN(D81)-4)</f>
        <v>HRRL1</v>
      </c>
    </row>
    <row r="82" spans="1:36" ht="118.95" customHeight="1" x14ac:dyDescent="0.3">
      <c r="A82" s="1">
        <f t="shared" si="2"/>
        <v>188</v>
      </c>
      <c r="B82" cm="1">
        <f t="array" ref="B82">IFERROR(MAX(--_xlfn.TEXTSPLIT(C82,";")),0)</f>
        <v>116</v>
      </c>
      <c r="C82" t="s">
        <v>1810</v>
      </c>
      <c r="D82" s="1" t="s">
        <v>650</v>
      </c>
      <c r="E82" s="1" t="s">
        <v>651</v>
      </c>
      <c r="F82" s="1">
        <v>1</v>
      </c>
      <c r="G82" s="1" t="s">
        <v>652</v>
      </c>
      <c r="H82" s="1" t="s">
        <v>653</v>
      </c>
      <c r="I82" s="1" t="s">
        <v>535</v>
      </c>
      <c r="J82" s="1" t="s">
        <v>190</v>
      </c>
      <c r="K82" s="1" t="s">
        <v>38</v>
      </c>
      <c r="L82" s="1" t="s">
        <v>39</v>
      </c>
      <c r="M82" s="2" t="s">
        <v>40</v>
      </c>
      <c r="N82" s="3">
        <v>5300000</v>
      </c>
      <c r="O82" s="3" t="s">
        <v>41</v>
      </c>
      <c r="P82" s="1" t="s">
        <v>654</v>
      </c>
      <c r="Q82" s="1" t="s">
        <v>133</v>
      </c>
      <c r="R82" s="3" t="s">
        <v>123</v>
      </c>
      <c r="S82" s="3" t="s">
        <v>301</v>
      </c>
      <c r="T82" s="2">
        <v>40908</v>
      </c>
      <c r="U82" s="2">
        <v>41183</v>
      </c>
      <c r="V82" s="2">
        <v>41201</v>
      </c>
      <c r="W82" s="2">
        <v>41331</v>
      </c>
      <c r="X82" s="2">
        <v>41446</v>
      </c>
      <c r="Y82" s="3" t="s">
        <v>655</v>
      </c>
      <c r="Z82" s="3" t="s">
        <v>656</v>
      </c>
      <c r="AA82" s="3" t="s">
        <v>657</v>
      </c>
      <c r="AB82" s="2">
        <v>41446</v>
      </c>
      <c r="AC82" s="2">
        <v>48571</v>
      </c>
      <c r="AD82" s="2" t="s">
        <v>49</v>
      </c>
      <c r="AE82" s="2" t="s">
        <v>50</v>
      </c>
      <c r="AF82" s="2">
        <v>43024</v>
      </c>
      <c r="AG82" s="2">
        <v>43462</v>
      </c>
      <c r="AH82" s="8">
        <v>6438587.2999999998</v>
      </c>
      <c r="AI82" s="6">
        <v>1</v>
      </c>
      <c r="AJ82" s="71" t="str">
        <f>MID(D82,5,LEN(D82)-4)</f>
        <v>HSAN1</v>
      </c>
    </row>
    <row r="83" spans="1:36" ht="118.95" customHeight="1" x14ac:dyDescent="0.3">
      <c r="A83" s="1">
        <f t="shared" si="2"/>
        <v>188</v>
      </c>
      <c r="B83" cm="1">
        <f t="array" ref="B83">IFERROR(MAX(--_xlfn.TEXTSPLIT(C83,";")),0)</f>
        <v>117</v>
      </c>
      <c r="C83" t="s">
        <v>1811</v>
      </c>
      <c r="D83" s="1" t="s">
        <v>698</v>
      </c>
      <c r="E83" s="1" t="s">
        <v>699</v>
      </c>
      <c r="F83" s="1">
        <v>1</v>
      </c>
      <c r="G83" s="1" t="s">
        <v>700</v>
      </c>
      <c r="H83" s="1" t="s">
        <v>701</v>
      </c>
      <c r="I83" s="1" t="s">
        <v>535</v>
      </c>
      <c r="J83" s="1" t="s">
        <v>112</v>
      </c>
      <c r="K83" s="1" t="s">
        <v>38</v>
      </c>
      <c r="L83" s="1" t="s">
        <v>39</v>
      </c>
      <c r="M83" s="2" t="s">
        <v>40</v>
      </c>
      <c r="N83" s="3">
        <v>5300000</v>
      </c>
      <c r="O83" s="3" t="s">
        <v>41</v>
      </c>
      <c r="P83" s="1" t="s">
        <v>702</v>
      </c>
      <c r="Q83" s="1" t="s">
        <v>133</v>
      </c>
      <c r="R83" s="3" t="s">
        <v>123</v>
      </c>
      <c r="S83" s="3" t="s">
        <v>301</v>
      </c>
      <c r="T83" s="2">
        <v>41592</v>
      </c>
      <c r="U83" s="2">
        <v>41669</v>
      </c>
      <c r="V83" s="2">
        <v>41682</v>
      </c>
      <c r="W83" s="2">
        <v>41697</v>
      </c>
      <c r="X83" s="2">
        <v>41796</v>
      </c>
      <c r="Y83" s="3" t="s">
        <v>703</v>
      </c>
      <c r="Z83" s="3" t="s">
        <v>704</v>
      </c>
      <c r="AA83" s="3" t="s">
        <v>705</v>
      </c>
      <c r="AB83" s="2">
        <v>41796</v>
      </c>
      <c r="AC83" s="2">
        <v>49631</v>
      </c>
      <c r="AD83" s="2" t="s">
        <v>49</v>
      </c>
      <c r="AE83" s="2">
        <v>41934</v>
      </c>
      <c r="AF83" s="2">
        <v>43914</v>
      </c>
      <c r="AG83" s="2">
        <v>44519</v>
      </c>
      <c r="AH83" s="8">
        <v>5718390.9000000004</v>
      </c>
      <c r="AI83" s="6">
        <v>1</v>
      </c>
      <c r="AJ83" s="71" t="str">
        <f>MID(D83,5,LEN(D83)-4)</f>
        <v>HSFB1</v>
      </c>
    </row>
    <row r="84" spans="1:36" ht="223.2" customHeight="1" x14ac:dyDescent="0.3">
      <c r="A84" s="1">
        <f t="shared" si="2"/>
        <v>188</v>
      </c>
      <c r="B84" cm="1">
        <f t="array" ref="B84">IFERROR(MAX(--_xlfn.TEXTSPLIT(C84,";")),0)</f>
        <v>119</v>
      </c>
      <c r="C84" t="s">
        <v>1812</v>
      </c>
      <c r="D84" s="1" t="s">
        <v>532</v>
      </c>
      <c r="E84" s="1" t="s">
        <v>533</v>
      </c>
      <c r="F84" s="1">
        <v>1</v>
      </c>
      <c r="G84" s="1" t="s">
        <v>533</v>
      </c>
      <c r="H84" s="1" t="s">
        <v>534</v>
      </c>
      <c r="I84" s="1" t="s">
        <v>535</v>
      </c>
      <c r="J84" s="1" t="s">
        <v>112</v>
      </c>
      <c r="K84" s="1" t="s">
        <v>38</v>
      </c>
      <c r="L84" s="1" t="s">
        <v>39</v>
      </c>
      <c r="M84" s="2" t="s">
        <v>40</v>
      </c>
      <c r="N84" s="3">
        <v>6568000</v>
      </c>
      <c r="O84" s="3" t="s">
        <v>41</v>
      </c>
      <c r="P84" s="4" t="s">
        <v>536</v>
      </c>
      <c r="Q84" s="1" t="s">
        <v>133</v>
      </c>
      <c r="R84" s="3" t="s">
        <v>123</v>
      </c>
      <c r="S84" s="3" t="s">
        <v>301</v>
      </c>
      <c r="T84" s="2">
        <v>39592</v>
      </c>
      <c r="U84" s="2">
        <v>39951</v>
      </c>
      <c r="V84" s="2">
        <v>39976</v>
      </c>
      <c r="W84" s="2">
        <v>40036</v>
      </c>
      <c r="X84" s="2">
        <v>40122</v>
      </c>
      <c r="Y84" s="3" t="s">
        <v>537</v>
      </c>
      <c r="Z84" s="3" t="s">
        <v>538</v>
      </c>
      <c r="AA84" s="3" t="s">
        <v>539</v>
      </c>
      <c r="AB84" s="2">
        <v>40122</v>
      </c>
      <c r="AC84" s="2">
        <v>47528</v>
      </c>
      <c r="AD84" s="2" t="s">
        <v>49</v>
      </c>
      <c r="AE84" s="2" t="s">
        <v>50</v>
      </c>
      <c r="AF84" s="2">
        <v>41618</v>
      </c>
      <c r="AG84" s="2">
        <v>42048</v>
      </c>
      <c r="AH84" s="8">
        <v>6244764.4299999997</v>
      </c>
      <c r="AI84" s="6">
        <v>1</v>
      </c>
      <c r="AJ84" s="71" t="str">
        <f>MID(D84,5,LEN(D84)-4)</f>
        <v>HSMF1</v>
      </c>
    </row>
    <row r="85" spans="1:36" ht="118.95" customHeight="1" x14ac:dyDescent="0.3">
      <c r="A85" s="1">
        <f t="shared" si="2"/>
        <v>188</v>
      </c>
      <c r="B85" cm="1">
        <f t="array" ref="B85">IFERROR(MAX(--_xlfn.TEXTSPLIT(C85,";")),0)</f>
        <v>120</v>
      </c>
      <c r="C85" t="s">
        <v>1813</v>
      </c>
      <c r="D85" s="1" t="s">
        <v>688</v>
      </c>
      <c r="E85" s="1" t="s">
        <v>689</v>
      </c>
      <c r="F85" s="1">
        <v>1</v>
      </c>
      <c r="G85" s="1" t="s">
        <v>690</v>
      </c>
      <c r="H85" s="1" t="s">
        <v>691</v>
      </c>
      <c r="I85" s="1" t="s">
        <v>535</v>
      </c>
      <c r="J85" s="1" t="s">
        <v>112</v>
      </c>
      <c r="K85" s="1" t="s">
        <v>38</v>
      </c>
      <c r="L85" s="1" t="s">
        <v>39</v>
      </c>
      <c r="M85" s="2" t="s">
        <v>40</v>
      </c>
      <c r="N85" s="3">
        <v>6714000</v>
      </c>
      <c r="O85" s="3" t="s">
        <v>41</v>
      </c>
      <c r="P85" s="1" t="s">
        <v>692</v>
      </c>
      <c r="Q85" s="1" t="s">
        <v>693</v>
      </c>
      <c r="R85" s="3" t="s">
        <v>123</v>
      </c>
      <c r="S85" s="3" t="s">
        <v>301</v>
      </c>
      <c r="T85" s="2">
        <v>41562</v>
      </c>
      <c r="U85" s="2">
        <v>41659</v>
      </c>
      <c r="V85" s="2">
        <v>41668</v>
      </c>
      <c r="W85" s="2">
        <v>41681</v>
      </c>
      <c r="X85" s="2">
        <v>41787</v>
      </c>
      <c r="Y85" s="3" t="s">
        <v>694</v>
      </c>
      <c r="Z85" s="3" t="s">
        <v>695</v>
      </c>
      <c r="AA85" s="3" t="s">
        <v>696</v>
      </c>
      <c r="AB85" s="2">
        <v>41787</v>
      </c>
      <c r="AC85" s="2">
        <v>51703</v>
      </c>
      <c r="AD85" s="2" t="s">
        <v>106</v>
      </c>
      <c r="AE85" s="2">
        <v>43431</v>
      </c>
      <c r="AF85" s="2" t="s">
        <v>697</v>
      </c>
      <c r="AG85" s="2" t="s">
        <v>697</v>
      </c>
      <c r="AH85" s="5">
        <v>9755462.5999999996</v>
      </c>
      <c r="AI85" s="13">
        <v>0.92200000000000004</v>
      </c>
      <c r="AJ85" s="71" t="str">
        <f>MID(D85,5,LEN(D85)-4)</f>
        <v>HSSG1</v>
      </c>
    </row>
    <row r="86" spans="1:36" ht="148.94999999999999" customHeight="1" x14ac:dyDescent="0.3">
      <c r="A86" s="1">
        <f t="shared" si="2"/>
        <v>188</v>
      </c>
      <c r="B86" cm="1">
        <f t="array" ref="B86">IFERROR(MAX(--_xlfn.TEXTSPLIT(C86,";")),0)</f>
        <v>121</v>
      </c>
      <c r="C86" t="s">
        <v>1814</v>
      </c>
      <c r="D86" s="1" t="s">
        <v>932</v>
      </c>
      <c r="E86" s="1" t="s">
        <v>1873</v>
      </c>
      <c r="F86" s="1">
        <v>1</v>
      </c>
      <c r="G86" s="1" t="s">
        <v>933</v>
      </c>
      <c r="H86" s="1" t="s">
        <v>934</v>
      </c>
      <c r="I86" s="1" t="s">
        <v>535</v>
      </c>
      <c r="J86" s="1" t="s">
        <v>112</v>
      </c>
      <c r="K86" s="1" t="s">
        <v>38</v>
      </c>
      <c r="L86" s="1" t="s">
        <v>39</v>
      </c>
      <c r="M86" s="2" t="s">
        <v>40</v>
      </c>
      <c r="N86" s="3">
        <v>4704824</v>
      </c>
      <c r="O86" s="3" t="s">
        <v>41</v>
      </c>
      <c r="P86" s="1" t="s">
        <v>935</v>
      </c>
      <c r="Q86" s="1" t="s">
        <v>693</v>
      </c>
      <c r="R86" s="3" t="s">
        <v>123</v>
      </c>
      <c r="S86" s="3" t="s">
        <v>301</v>
      </c>
      <c r="T86" s="2">
        <v>44490</v>
      </c>
      <c r="U86" s="2">
        <v>44749</v>
      </c>
      <c r="V86" s="2">
        <v>44769</v>
      </c>
      <c r="W86" s="2">
        <v>44861</v>
      </c>
      <c r="X86" s="2">
        <v>44979</v>
      </c>
      <c r="Y86" s="3" t="s">
        <v>936</v>
      </c>
      <c r="Z86" s="3" t="s">
        <v>937</v>
      </c>
      <c r="AA86" s="3" t="s">
        <v>938</v>
      </c>
      <c r="AB86" s="2">
        <v>44979</v>
      </c>
      <c r="AC86" s="2">
        <v>53223</v>
      </c>
      <c r="AD86" s="2" t="s">
        <v>106</v>
      </c>
      <c r="AE86" s="2" t="s">
        <v>855</v>
      </c>
      <c r="AF86" s="2" t="s">
        <v>697</v>
      </c>
      <c r="AG86" s="2" t="s">
        <v>697</v>
      </c>
      <c r="AH86" s="5">
        <v>4704824</v>
      </c>
      <c r="AI86" s="6">
        <v>0</v>
      </c>
      <c r="AJ86" s="72" t="str">
        <f>MID(D86,5,LEN(D86)-4)</f>
        <v>INAC1</v>
      </c>
    </row>
    <row r="87" spans="1:36" ht="148.19999999999999" customHeight="1" x14ac:dyDescent="0.3">
      <c r="A87" s="1">
        <f t="shared" si="2"/>
        <v>188</v>
      </c>
      <c r="B87" cm="1">
        <f t="array" ref="B87">IFERROR(MAX(--_xlfn.TEXTSPLIT(C87,";")),0)</f>
        <v>49</v>
      </c>
      <c r="C87" t="s">
        <v>1790</v>
      </c>
      <c r="D87" s="1" t="s">
        <v>824</v>
      </c>
      <c r="E87" s="1" t="s">
        <v>1874</v>
      </c>
      <c r="F87" s="1">
        <v>2</v>
      </c>
      <c r="G87" s="1" t="s">
        <v>825</v>
      </c>
      <c r="H87" s="1" t="s">
        <v>826</v>
      </c>
      <c r="I87" s="1" t="s">
        <v>36</v>
      </c>
      <c r="J87" s="1" t="s">
        <v>175</v>
      </c>
      <c r="K87" s="1" t="s">
        <v>38</v>
      </c>
      <c r="L87" s="1" t="s">
        <v>39</v>
      </c>
      <c r="M87" s="2" t="s">
        <v>40</v>
      </c>
      <c r="N87" s="3">
        <v>12155000</v>
      </c>
      <c r="O87" s="3" t="s">
        <v>41</v>
      </c>
      <c r="P87" s="1" t="s">
        <v>827</v>
      </c>
      <c r="Q87" s="1" t="s">
        <v>662</v>
      </c>
      <c r="R87" s="3" t="s">
        <v>44</v>
      </c>
      <c r="S87" s="3" t="s">
        <v>152</v>
      </c>
      <c r="T87" s="2">
        <v>43232</v>
      </c>
      <c r="U87" s="2">
        <v>43434</v>
      </c>
      <c r="V87" s="2">
        <v>43460</v>
      </c>
      <c r="W87" s="2">
        <v>43585</v>
      </c>
      <c r="X87" s="2">
        <v>43766</v>
      </c>
      <c r="Y87" s="3" t="s">
        <v>828</v>
      </c>
      <c r="Z87" s="3" t="s">
        <v>829</v>
      </c>
      <c r="AA87" s="3" t="s">
        <v>830</v>
      </c>
      <c r="AB87" s="2">
        <v>43766</v>
      </c>
      <c r="AC87" s="2">
        <v>54723</v>
      </c>
      <c r="AD87" s="2" t="s">
        <v>106</v>
      </c>
      <c r="AE87" s="2">
        <v>45797</v>
      </c>
      <c r="AF87" s="2" t="s">
        <v>697</v>
      </c>
      <c r="AG87" s="2" t="s">
        <v>697</v>
      </c>
      <c r="AH87" s="5">
        <v>12155000</v>
      </c>
      <c r="AI87" s="6" t="s">
        <v>831</v>
      </c>
      <c r="AJ87" s="1" t="str">
        <f>MID(D87,5,LEN(D87)-4)</f>
        <v>LVLS2</v>
      </c>
    </row>
    <row r="88" spans="1:36" ht="118.95" customHeight="1" x14ac:dyDescent="0.3">
      <c r="A88" s="1">
        <f t="shared" si="2"/>
        <v>188</v>
      </c>
      <c r="B88" cm="1">
        <f t="array" ref="B88">IFERROR(MAX(--_xlfn.TEXTSPLIT(C88,";")),0)</f>
        <v>122</v>
      </c>
      <c r="C88" t="s">
        <v>1815</v>
      </c>
      <c r="D88" s="1" t="s">
        <v>658</v>
      </c>
      <c r="E88" s="1" t="s">
        <v>1875</v>
      </c>
      <c r="F88" s="1">
        <v>1</v>
      </c>
      <c r="G88" s="1" t="s">
        <v>659</v>
      </c>
      <c r="H88" s="1" t="s">
        <v>660</v>
      </c>
      <c r="I88" s="1" t="s">
        <v>111</v>
      </c>
      <c r="J88" s="1" t="s">
        <v>55</v>
      </c>
      <c r="K88" s="1" t="s">
        <v>38</v>
      </c>
      <c r="L88" s="1" t="s">
        <v>39</v>
      </c>
      <c r="M88" s="2" t="s">
        <v>40</v>
      </c>
      <c r="N88" s="3">
        <v>4420000</v>
      </c>
      <c r="O88" s="3" t="s">
        <v>41</v>
      </c>
      <c r="P88" s="1" t="s">
        <v>661</v>
      </c>
      <c r="Q88" s="1" t="s">
        <v>662</v>
      </c>
      <c r="R88" s="3" t="s">
        <v>44</v>
      </c>
      <c r="S88" s="3" t="s">
        <v>484</v>
      </c>
      <c r="T88" s="2">
        <v>41271</v>
      </c>
      <c r="U88" s="2">
        <v>41593</v>
      </c>
      <c r="V88" s="2">
        <v>41621</v>
      </c>
      <c r="W88" s="2">
        <v>41828</v>
      </c>
      <c r="X88" s="2">
        <v>41975</v>
      </c>
      <c r="Y88" s="3" t="s">
        <v>663</v>
      </c>
      <c r="Z88" s="3" t="s">
        <v>664</v>
      </c>
      <c r="AA88" s="3" t="s">
        <v>665</v>
      </c>
      <c r="AB88" s="2">
        <v>41975</v>
      </c>
      <c r="AC88" s="2">
        <v>56585</v>
      </c>
      <c r="AD88" s="2" t="s">
        <v>106</v>
      </c>
      <c r="AE88" s="2">
        <v>44378</v>
      </c>
      <c r="AF88" s="2">
        <v>45985</v>
      </c>
      <c r="AG88" s="2" t="s">
        <v>531</v>
      </c>
      <c r="AH88" s="9">
        <v>6057865.2999999998</v>
      </c>
      <c r="AI88" s="13">
        <v>0.93169999999999997</v>
      </c>
      <c r="AJ88" s="71" t="str">
        <f>MID(D88,5,LEN(D88)-4)</f>
        <v>NPIB1</v>
      </c>
    </row>
    <row r="89" spans="1:36" ht="118.95" customHeight="1" x14ac:dyDescent="0.3">
      <c r="A89" s="1">
        <f t="shared" si="2"/>
        <v>188</v>
      </c>
      <c r="B89" cm="1">
        <f t="array" ref="B89">IFERROR(MAX(--_xlfn.TEXTSPLIT(C89,";")),0)</f>
        <v>123</v>
      </c>
      <c r="C89" t="s">
        <v>1816</v>
      </c>
      <c r="D89" s="20" t="s">
        <v>969</v>
      </c>
      <c r="E89" s="20" t="s">
        <v>970</v>
      </c>
      <c r="F89" s="1">
        <v>1</v>
      </c>
      <c r="G89" s="1" t="s">
        <v>971</v>
      </c>
      <c r="H89" s="1" t="s">
        <v>972</v>
      </c>
      <c r="I89" s="1" t="s">
        <v>111</v>
      </c>
      <c r="J89" s="25" t="s">
        <v>912</v>
      </c>
      <c r="K89" s="1" t="s">
        <v>38</v>
      </c>
      <c r="L89" s="1" t="s">
        <v>66</v>
      </c>
      <c r="M89" s="2">
        <v>42531</v>
      </c>
      <c r="N89" s="26">
        <v>11967720</v>
      </c>
      <c r="O89" s="1" t="s">
        <v>41</v>
      </c>
      <c r="P89" s="1" t="s">
        <v>973</v>
      </c>
      <c r="Q89" s="1" t="s">
        <v>693</v>
      </c>
      <c r="R89" s="3" t="s">
        <v>44</v>
      </c>
      <c r="S89" s="3" t="s">
        <v>152</v>
      </c>
      <c r="T89" s="2">
        <v>44989</v>
      </c>
      <c r="U89" s="2">
        <v>45230</v>
      </c>
      <c r="V89" s="2">
        <v>45260</v>
      </c>
      <c r="W89" s="2">
        <v>45388</v>
      </c>
      <c r="X89" s="2">
        <v>45447</v>
      </c>
      <c r="Y89" s="3" t="s">
        <v>974</v>
      </c>
      <c r="Z89" s="3" t="s">
        <v>975</v>
      </c>
      <c r="AA89" s="7" t="s">
        <v>976</v>
      </c>
      <c r="AB89" s="2">
        <v>45447</v>
      </c>
      <c r="AC89" s="2">
        <v>62248</v>
      </c>
      <c r="AD89" s="2" t="s">
        <v>106</v>
      </c>
      <c r="AE89" s="1" t="s">
        <v>855</v>
      </c>
      <c r="AF89" s="1" t="s">
        <v>697</v>
      </c>
      <c r="AG89" s="1" t="s">
        <v>697</v>
      </c>
      <c r="AH89" s="66">
        <v>11967720</v>
      </c>
      <c r="AI89" s="23">
        <v>0</v>
      </c>
      <c r="AJ89" s="71" t="str">
        <f>MID(D89,5,LEN(D89)-4)</f>
        <v>ORSS1</v>
      </c>
    </row>
    <row r="90" spans="1:36" ht="118.95" customHeight="1" x14ac:dyDescent="0.3">
      <c r="A90" s="1">
        <f t="shared" si="2"/>
        <v>188</v>
      </c>
      <c r="B90" cm="1">
        <f t="array" ref="B90">IFERROR(MAX(--_xlfn.TEXTSPLIT(C90,";")),0)</f>
        <v>124</v>
      </c>
      <c r="C90" t="s">
        <v>1817</v>
      </c>
      <c r="D90" s="1" t="s">
        <v>554</v>
      </c>
      <c r="E90" s="47" t="s">
        <v>1008</v>
      </c>
      <c r="F90" s="1">
        <v>1</v>
      </c>
      <c r="G90" s="1" t="s">
        <v>555</v>
      </c>
      <c r="H90" s="1" t="s">
        <v>556</v>
      </c>
      <c r="I90" s="1" t="s">
        <v>64</v>
      </c>
      <c r="J90" s="1" t="s">
        <v>216</v>
      </c>
      <c r="K90" s="1" t="s">
        <v>38</v>
      </c>
      <c r="L90" s="1" t="s">
        <v>39</v>
      </c>
      <c r="M90" s="2" t="s">
        <v>40</v>
      </c>
      <c r="N90" s="3">
        <v>2681000</v>
      </c>
      <c r="O90" s="3" t="s">
        <v>41</v>
      </c>
      <c r="P90" s="1" t="s">
        <v>557</v>
      </c>
      <c r="Q90" s="1" t="s">
        <v>43</v>
      </c>
      <c r="R90" s="3" t="s">
        <v>123</v>
      </c>
      <c r="S90" s="3" t="s">
        <v>301</v>
      </c>
      <c r="T90" s="2">
        <v>39800</v>
      </c>
      <c r="U90" s="2">
        <v>40095</v>
      </c>
      <c r="V90" s="2">
        <v>40147</v>
      </c>
      <c r="W90" s="2">
        <v>40211</v>
      </c>
      <c r="X90" s="2">
        <v>40285</v>
      </c>
      <c r="Y90" s="3" t="s">
        <v>558</v>
      </c>
      <c r="Z90" s="3" t="s">
        <v>559</v>
      </c>
      <c r="AA90" s="3" t="s">
        <v>560</v>
      </c>
      <c r="AB90" s="2">
        <v>40285</v>
      </c>
      <c r="AC90" s="2">
        <v>45900</v>
      </c>
      <c r="AD90" s="2" t="s">
        <v>49</v>
      </c>
      <c r="AE90" s="2">
        <v>41016</v>
      </c>
      <c r="AF90" s="2">
        <v>41779</v>
      </c>
      <c r="AG90" s="2">
        <v>42025</v>
      </c>
      <c r="AH90" s="5">
        <v>2623962.17</v>
      </c>
      <c r="AI90" s="6">
        <v>1</v>
      </c>
      <c r="AJ90" s="71" t="str">
        <f>MID(D90,5,LEN(D90)-4)</f>
        <v>NARA1</v>
      </c>
    </row>
    <row r="91" spans="1:36" ht="118.95" customHeight="1" x14ac:dyDescent="0.3">
      <c r="A91" s="1">
        <f t="shared" si="2"/>
        <v>188</v>
      </c>
      <c r="B91" cm="1">
        <f t="array" ref="B91">IFERROR(MAX(--_xlfn.TEXTSPLIT(C91,";")),0)</f>
        <v>124</v>
      </c>
      <c r="C91" t="s">
        <v>1817</v>
      </c>
      <c r="D91" s="46" t="s">
        <v>1007</v>
      </c>
      <c r="E91" s="47" t="s">
        <v>1008</v>
      </c>
      <c r="F91" s="1">
        <v>2</v>
      </c>
      <c r="G91" s="46" t="s">
        <v>1009</v>
      </c>
      <c r="H91" s="1" t="s">
        <v>1010</v>
      </c>
      <c r="I91" s="1" t="s">
        <v>64</v>
      </c>
      <c r="J91" s="1" t="s">
        <v>1011</v>
      </c>
      <c r="K91" s="1" t="s">
        <v>38</v>
      </c>
      <c r="L91" s="1" t="s">
        <v>39</v>
      </c>
      <c r="M91" s="2"/>
      <c r="N91" s="3">
        <v>3070000</v>
      </c>
      <c r="O91" s="1" t="s">
        <v>41</v>
      </c>
      <c r="P91" s="1" t="s">
        <v>1012</v>
      </c>
      <c r="Q91" s="1" t="s">
        <v>662</v>
      </c>
      <c r="R91" s="1" t="s">
        <v>44</v>
      </c>
      <c r="S91" s="1" t="s">
        <v>1013</v>
      </c>
      <c r="T91" s="2">
        <v>45233</v>
      </c>
      <c r="U91" s="2">
        <v>45252</v>
      </c>
      <c r="V91" s="2">
        <v>45646</v>
      </c>
      <c r="W91" s="2">
        <v>45737</v>
      </c>
      <c r="X91" s="2">
        <v>45888</v>
      </c>
      <c r="Y91" s="1" t="s">
        <v>1014</v>
      </c>
      <c r="Z91" s="1" t="s">
        <v>1015</v>
      </c>
      <c r="AA91" s="1" t="s">
        <v>1016</v>
      </c>
      <c r="AB91" s="2">
        <v>45888</v>
      </c>
      <c r="AC91" s="2">
        <v>55384</v>
      </c>
      <c r="AD91" s="1" t="s">
        <v>106</v>
      </c>
      <c r="AE91" s="1" t="s">
        <v>855</v>
      </c>
      <c r="AF91" s="1" t="s">
        <v>697</v>
      </c>
      <c r="AG91" s="1" t="s">
        <v>697</v>
      </c>
      <c r="AH91" s="49">
        <v>3070000</v>
      </c>
      <c r="AI91" s="23">
        <v>0</v>
      </c>
      <c r="AJ91" s="1" t="str">
        <f>MID(D91,5,LEN(D91)-4)</f>
        <v>NARA2</v>
      </c>
    </row>
    <row r="92" spans="1:36" ht="118.95" customHeight="1" x14ac:dyDescent="0.3">
      <c r="A92" s="1">
        <f t="shared" si="2"/>
        <v>188</v>
      </c>
      <c r="B92" cm="1">
        <f t="array" ref="B92">IFERROR(MAX(--_xlfn.TEXTSPLIT(C92,";")),0)</f>
        <v>125</v>
      </c>
      <c r="C92" t="s">
        <v>1818</v>
      </c>
      <c r="D92" s="1" t="s">
        <v>547</v>
      </c>
      <c r="E92" s="1" t="s">
        <v>1877</v>
      </c>
      <c r="F92" s="1">
        <v>1</v>
      </c>
      <c r="G92" s="1" t="s">
        <v>548</v>
      </c>
      <c r="H92" s="1" t="s">
        <v>549</v>
      </c>
      <c r="I92" s="1" t="s">
        <v>36</v>
      </c>
      <c r="J92" s="1" t="s">
        <v>75</v>
      </c>
      <c r="K92" s="1" t="s">
        <v>38</v>
      </c>
      <c r="L92" s="1" t="s">
        <v>66</v>
      </c>
      <c r="M92" s="2">
        <v>38427</v>
      </c>
      <c r="N92" s="3">
        <v>4125000</v>
      </c>
      <c r="O92" s="3" t="s">
        <v>41</v>
      </c>
      <c r="P92" s="1" t="s">
        <v>550</v>
      </c>
      <c r="Q92" s="1" t="s">
        <v>133</v>
      </c>
      <c r="R92" s="3" t="s">
        <v>44</v>
      </c>
      <c r="S92" s="3" t="s">
        <v>484</v>
      </c>
      <c r="T92" s="2">
        <v>39781</v>
      </c>
      <c r="U92" s="2">
        <v>40115</v>
      </c>
      <c r="V92" s="2">
        <v>40142</v>
      </c>
      <c r="W92" s="2">
        <v>40219</v>
      </c>
      <c r="X92" s="2">
        <v>40302</v>
      </c>
      <c r="Y92" s="3" t="s">
        <v>551</v>
      </c>
      <c r="Z92" s="3" t="s">
        <v>552</v>
      </c>
      <c r="AA92" s="3" t="s">
        <v>553</v>
      </c>
      <c r="AB92" s="2">
        <v>40302</v>
      </c>
      <c r="AC92" s="2">
        <v>55096</v>
      </c>
      <c r="AD92" s="2" t="s">
        <v>106</v>
      </c>
      <c r="AE92" s="2" t="s">
        <v>50</v>
      </c>
      <c r="AF92" s="2">
        <v>41810</v>
      </c>
      <c r="AG92" s="2">
        <v>41954</v>
      </c>
      <c r="AH92" s="8">
        <v>5248461.3500000006</v>
      </c>
      <c r="AI92" s="6">
        <v>1</v>
      </c>
      <c r="AJ92" s="71" t="str">
        <f>MID(D92,5,LEN(D92)-4)</f>
        <v>PMPA1</v>
      </c>
    </row>
    <row r="93" spans="1:36" ht="118.95" customHeight="1" x14ac:dyDescent="0.3">
      <c r="A93" s="1">
        <f t="shared" si="2"/>
        <v>188</v>
      </c>
      <c r="B93" cm="1">
        <f t="array" ref="B93">IFERROR(MAX(--_xlfn.TEXTSPLIT(C93,";")),0)</f>
        <v>126</v>
      </c>
      <c r="C93" t="s">
        <v>1819</v>
      </c>
      <c r="D93" s="1" t="s">
        <v>195</v>
      </c>
      <c r="E93" s="1" t="s">
        <v>1876</v>
      </c>
      <c r="F93" s="1">
        <v>1</v>
      </c>
      <c r="G93" s="1" t="s">
        <v>196</v>
      </c>
      <c r="H93" s="1" t="s">
        <v>197</v>
      </c>
      <c r="I93" s="1" t="s">
        <v>36</v>
      </c>
      <c r="J93" s="1" t="s">
        <v>198</v>
      </c>
      <c r="K93" s="1" t="s">
        <v>38</v>
      </c>
      <c r="L93" s="1" t="s">
        <v>39</v>
      </c>
      <c r="M93" s="2" t="s">
        <v>40</v>
      </c>
      <c r="N93" s="3">
        <v>5782000</v>
      </c>
      <c r="O93" s="3" t="s">
        <v>41</v>
      </c>
      <c r="P93" s="1" t="s">
        <v>199</v>
      </c>
      <c r="Q93" s="1" t="s">
        <v>133</v>
      </c>
      <c r="R93" s="3" t="s">
        <v>123</v>
      </c>
      <c r="S93" s="3" t="s">
        <v>200</v>
      </c>
      <c r="T93" s="2">
        <v>35593</v>
      </c>
      <c r="U93" s="2">
        <v>35626</v>
      </c>
      <c r="V93" s="2">
        <v>35647</v>
      </c>
      <c r="W93" s="2">
        <v>35748</v>
      </c>
      <c r="X93" s="2">
        <v>35808</v>
      </c>
      <c r="Y93" s="3" t="s">
        <v>201</v>
      </c>
      <c r="Z93" s="3" t="s">
        <v>202</v>
      </c>
      <c r="AA93" s="3" t="s">
        <v>203</v>
      </c>
      <c r="AB93" s="2">
        <v>36058</v>
      </c>
      <c r="AC93" s="2">
        <v>46203</v>
      </c>
      <c r="AD93" s="2" t="s">
        <v>49</v>
      </c>
      <c r="AE93" s="2" t="s">
        <v>50</v>
      </c>
      <c r="AF93" s="2">
        <v>37194</v>
      </c>
      <c r="AG93" s="2">
        <v>37522</v>
      </c>
      <c r="AH93" s="9">
        <v>9212080.3000000007</v>
      </c>
      <c r="AI93" s="6">
        <v>1</v>
      </c>
      <c r="AJ93" s="72" t="str">
        <f>MID(D93,5,LEN(D93)-4)</f>
        <v>RBPM1</v>
      </c>
    </row>
    <row r="94" spans="1:36" ht="118.95" customHeight="1" x14ac:dyDescent="0.3">
      <c r="A94" s="1">
        <f t="shared" si="2"/>
        <v>188</v>
      </c>
      <c r="B94" cm="1">
        <f t="array" ref="B94">IFERROR(MAX(--_xlfn.TEXTSPLIT(C94,";")),0)</f>
        <v>126</v>
      </c>
      <c r="C94" t="s">
        <v>1819</v>
      </c>
      <c r="D94" s="73" t="s">
        <v>1746</v>
      </c>
      <c r="E94" s="1" t="s">
        <v>1876</v>
      </c>
      <c r="F94" s="59"/>
      <c r="G94" s="62" t="s">
        <v>1738</v>
      </c>
      <c r="H94" s="59"/>
      <c r="I94" s="59" t="s">
        <v>36</v>
      </c>
      <c r="J94" s="59"/>
      <c r="K94" s="59"/>
      <c r="L94" s="59"/>
      <c r="M94" s="60"/>
      <c r="N94" s="61"/>
      <c r="O94" s="59"/>
      <c r="P94" s="59"/>
      <c r="Q94" s="59" t="s">
        <v>662</v>
      </c>
      <c r="R94" s="59"/>
      <c r="S94" s="59"/>
      <c r="T94" s="60"/>
      <c r="U94" s="60"/>
      <c r="V94" s="60"/>
      <c r="W94" s="60"/>
      <c r="X94" s="60"/>
      <c r="Y94" s="59"/>
      <c r="Z94" s="59"/>
      <c r="AA94" s="59"/>
      <c r="AB94" s="60"/>
      <c r="AC94" s="60"/>
      <c r="AD94" s="59"/>
      <c r="AE94" s="59"/>
      <c r="AF94" s="59"/>
      <c r="AG94" s="59"/>
      <c r="AH94" s="22"/>
      <c r="AI94" s="23"/>
      <c r="AJ94" s="1" t="str">
        <f>MID(D94,5,LEN(D94)-4)</f>
        <v>RBPM2</v>
      </c>
    </row>
    <row r="95" spans="1:36" ht="118.95" customHeight="1" x14ac:dyDescent="0.3">
      <c r="A95" s="1">
        <f t="shared" si="2"/>
        <v>188</v>
      </c>
      <c r="B95" cm="1">
        <f t="array" ref="B95">IFERROR(MAX(--_xlfn.TEXTSPLIT(C95,";")),0)</f>
        <v>175</v>
      </c>
      <c r="C95" t="s">
        <v>1820</v>
      </c>
      <c r="D95" s="1" t="s">
        <v>414</v>
      </c>
      <c r="E95" s="1" t="s">
        <v>415</v>
      </c>
      <c r="F95" s="1">
        <v>1</v>
      </c>
      <c r="G95" s="1" t="s">
        <v>416</v>
      </c>
      <c r="H95" s="1" t="s">
        <v>417</v>
      </c>
      <c r="I95" s="1" t="s">
        <v>385</v>
      </c>
      <c r="J95" s="1" t="s">
        <v>112</v>
      </c>
      <c r="K95" s="1" t="s">
        <v>38</v>
      </c>
      <c r="L95" s="1" t="s">
        <v>39</v>
      </c>
      <c r="M95" s="2" t="s">
        <v>40</v>
      </c>
      <c r="N95" s="3">
        <v>520628</v>
      </c>
      <c r="O95" s="3" t="s">
        <v>41</v>
      </c>
      <c r="P95" s="1" t="s">
        <v>418</v>
      </c>
      <c r="Q95" s="1" t="s">
        <v>133</v>
      </c>
      <c r="R95" s="3" t="s">
        <v>44</v>
      </c>
      <c r="S95" s="3" t="s">
        <v>301</v>
      </c>
      <c r="T95" s="2">
        <v>37903</v>
      </c>
      <c r="U95" s="2">
        <v>38048</v>
      </c>
      <c r="V95" s="2">
        <v>38071</v>
      </c>
      <c r="W95" s="2">
        <v>38096</v>
      </c>
      <c r="X95" s="2">
        <v>38126</v>
      </c>
      <c r="Y95" s="3" t="s">
        <v>419</v>
      </c>
      <c r="Z95" s="3" t="s">
        <v>420</v>
      </c>
      <c r="AA95" s="3" t="s">
        <v>421</v>
      </c>
      <c r="AB95" s="2">
        <v>38126</v>
      </c>
      <c r="AC95" s="2">
        <v>49082</v>
      </c>
      <c r="AD95" s="2" t="s">
        <v>49</v>
      </c>
      <c r="AE95" s="2" t="s">
        <v>50</v>
      </c>
      <c r="AF95" s="2">
        <v>38674</v>
      </c>
      <c r="AG95" s="2">
        <v>38713</v>
      </c>
      <c r="AH95" s="8">
        <v>591239.70000000007</v>
      </c>
      <c r="AI95" s="6">
        <v>1</v>
      </c>
      <c r="AJ95" s="1" t="str">
        <f>MID(D95,5,LEN(D95)-4)</f>
        <v>PCIS1</v>
      </c>
    </row>
    <row r="96" spans="1:36" ht="118.95" customHeight="1" x14ac:dyDescent="0.3">
      <c r="A96" s="1">
        <f t="shared" si="2"/>
        <v>188</v>
      </c>
      <c r="B96" cm="1">
        <f t="array" ref="B96">IFERROR(MAX(--_xlfn.TEXTSPLIT(C96,";")),0)</f>
        <v>128</v>
      </c>
      <c r="C96" t="s">
        <v>1821</v>
      </c>
      <c r="D96" s="1" t="s">
        <v>324</v>
      </c>
      <c r="E96" s="1" t="s">
        <v>325</v>
      </c>
      <c r="F96" s="1">
        <v>1</v>
      </c>
      <c r="G96" s="1" t="s">
        <v>326</v>
      </c>
      <c r="H96" s="1" t="s">
        <v>327</v>
      </c>
      <c r="I96" s="1" t="s">
        <v>36</v>
      </c>
      <c r="J96" s="1" t="s">
        <v>55</v>
      </c>
      <c r="K96" s="1" t="s">
        <v>38</v>
      </c>
      <c r="L96" s="1" t="s">
        <v>66</v>
      </c>
      <c r="M96" s="2" t="s">
        <v>40</v>
      </c>
      <c r="N96" s="3">
        <v>648250</v>
      </c>
      <c r="O96" s="3" t="s">
        <v>41</v>
      </c>
      <c r="P96" s="1" t="s">
        <v>328</v>
      </c>
      <c r="Q96" s="1" t="s">
        <v>133</v>
      </c>
      <c r="R96" s="3" t="s">
        <v>44</v>
      </c>
      <c r="S96" s="3" t="s">
        <v>329</v>
      </c>
      <c r="T96" s="2">
        <v>37120</v>
      </c>
      <c r="U96" s="2">
        <v>37231</v>
      </c>
      <c r="V96" s="2">
        <v>37253</v>
      </c>
      <c r="W96" s="2">
        <v>37287</v>
      </c>
      <c r="X96" s="2">
        <v>37366</v>
      </c>
      <c r="Y96" s="3" t="s">
        <v>330</v>
      </c>
      <c r="Z96" s="3" t="s">
        <v>331</v>
      </c>
      <c r="AA96" s="3" t="s">
        <v>332</v>
      </c>
      <c r="AB96" s="2">
        <v>37366</v>
      </c>
      <c r="AC96" s="2">
        <v>48871</v>
      </c>
      <c r="AD96" s="2" t="s">
        <v>49</v>
      </c>
      <c r="AE96" s="2" t="s">
        <v>50</v>
      </c>
      <c r="AF96" s="2">
        <v>38499</v>
      </c>
      <c r="AG96" s="2">
        <v>38712</v>
      </c>
      <c r="AH96" s="8">
        <v>946633.08000000007</v>
      </c>
      <c r="AI96" s="6">
        <v>1</v>
      </c>
      <c r="AJ96" s="1" t="str">
        <f>MID(D96,5,LEN(D96)-4)</f>
        <v>RITP1</v>
      </c>
    </row>
    <row r="97" spans="1:36" ht="187.2" x14ac:dyDescent="0.3">
      <c r="A97" s="1">
        <f t="shared" si="2"/>
        <v>188</v>
      </c>
      <c r="B97" cm="1">
        <f t="array" ref="B97">IFERROR(MAX(--_xlfn.TEXTSPLIT(C97,";")),0)</f>
        <v>178</v>
      </c>
      <c r="C97" t="s">
        <v>1822</v>
      </c>
      <c r="D97" s="1" t="s">
        <v>305</v>
      </c>
      <c r="E97" s="1" t="s">
        <v>306</v>
      </c>
      <c r="F97" s="1">
        <v>1</v>
      </c>
      <c r="G97" s="1" t="s">
        <v>307</v>
      </c>
      <c r="H97" s="1" t="s">
        <v>308</v>
      </c>
      <c r="I97" s="1" t="s">
        <v>309</v>
      </c>
      <c r="J97" s="1" t="s">
        <v>310</v>
      </c>
      <c r="K97" s="1" t="s">
        <v>38</v>
      </c>
      <c r="L97" s="1" t="s">
        <v>39</v>
      </c>
      <c r="M97" s="2" t="s">
        <v>40</v>
      </c>
      <c r="N97" s="3">
        <v>2800000</v>
      </c>
      <c r="O97" s="3" t="s">
        <v>41</v>
      </c>
      <c r="P97" s="1" t="s">
        <v>311</v>
      </c>
      <c r="Q97" s="1" t="s">
        <v>133</v>
      </c>
      <c r="R97" s="3" t="s">
        <v>123</v>
      </c>
      <c r="S97" s="3" t="s">
        <v>312</v>
      </c>
      <c r="T97" s="2">
        <v>36975</v>
      </c>
      <c r="U97" s="2">
        <v>37181</v>
      </c>
      <c r="V97" s="2">
        <v>37229</v>
      </c>
      <c r="W97" s="2">
        <v>37343</v>
      </c>
      <c r="X97" s="2">
        <v>37422</v>
      </c>
      <c r="Y97" s="3" t="s">
        <v>313</v>
      </c>
      <c r="Z97" s="3" t="s">
        <v>314</v>
      </c>
      <c r="AA97" s="3" t="s">
        <v>315</v>
      </c>
      <c r="AB97" s="2">
        <v>37422</v>
      </c>
      <c r="AC97" s="2">
        <v>46752</v>
      </c>
      <c r="AD97" s="2" t="s">
        <v>49</v>
      </c>
      <c r="AE97" s="2" t="s">
        <v>50</v>
      </c>
      <c r="AF97" s="2">
        <v>38637</v>
      </c>
      <c r="AG97" s="2">
        <v>38741</v>
      </c>
      <c r="AH97" s="5">
        <v>5723554.5199999996</v>
      </c>
      <c r="AI97" s="6">
        <v>1</v>
      </c>
      <c r="AJ97" s="71" t="str">
        <f>MID(D97,5,LEN(D97)-4)</f>
        <v>PP1G1</v>
      </c>
    </row>
    <row r="98" spans="1:36" ht="118.95" customHeight="1" x14ac:dyDescent="0.3">
      <c r="A98" s="1">
        <f t="shared" ref="A98:A128" si="3">MAX($B$2:$B$128)</f>
        <v>188</v>
      </c>
      <c r="B98" cm="1">
        <f t="array" ref="B98">IFERROR(MAX(--_xlfn.TEXTSPLIT(C98,";")),0)</f>
        <v>181</v>
      </c>
      <c r="C98" t="s">
        <v>1823</v>
      </c>
      <c r="D98" s="1" t="s">
        <v>349</v>
      </c>
      <c r="E98" s="1" t="s">
        <v>350</v>
      </c>
      <c r="F98" s="1">
        <v>1</v>
      </c>
      <c r="G98" s="1" t="s">
        <v>351</v>
      </c>
      <c r="H98" s="1" t="s">
        <v>352</v>
      </c>
      <c r="I98" s="1" t="s">
        <v>309</v>
      </c>
      <c r="J98" s="1" t="s">
        <v>353</v>
      </c>
      <c r="K98" s="1" t="s">
        <v>38</v>
      </c>
      <c r="L98" s="1" t="s">
        <v>39</v>
      </c>
      <c r="M98" s="2" t="s">
        <v>40</v>
      </c>
      <c r="N98" s="3">
        <v>1800000</v>
      </c>
      <c r="O98" s="3" t="s">
        <v>41</v>
      </c>
      <c r="P98" s="1" t="s">
        <v>264</v>
      </c>
      <c r="Q98" s="1" t="s">
        <v>43</v>
      </c>
      <c r="R98" s="3" t="s">
        <v>123</v>
      </c>
      <c r="S98" s="3" t="s">
        <v>312</v>
      </c>
      <c r="T98" s="2">
        <v>37185</v>
      </c>
      <c r="U98" s="2">
        <v>37425</v>
      </c>
      <c r="V98" s="2">
        <v>37468</v>
      </c>
      <c r="W98" s="2">
        <v>37596</v>
      </c>
      <c r="X98" s="2">
        <v>37686</v>
      </c>
      <c r="Y98" s="3" t="s">
        <v>354</v>
      </c>
      <c r="Z98" s="3" t="s">
        <v>355</v>
      </c>
      <c r="AA98" s="3" t="s">
        <v>356</v>
      </c>
      <c r="AB98" s="2">
        <v>37686</v>
      </c>
      <c r="AC98" s="2">
        <v>38960</v>
      </c>
      <c r="AD98" s="2" t="s">
        <v>49</v>
      </c>
      <c r="AE98" s="2" t="s">
        <v>269</v>
      </c>
      <c r="AF98" s="2" t="s">
        <v>269</v>
      </c>
      <c r="AG98" s="2" t="s">
        <v>269</v>
      </c>
      <c r="AH98" s="5">
        <v>1328957.22</v>
      </c>
      <c r="AI98" s="6">
        <v>0</v>
      </c>
      <c r="AJ98" s="71" t="str">
        <f>MID(D98,5,LEN(D98)-4)</f>
        <v>PP2G1</v>
      </c>
    </row>
    <row r="99" spans="1:36" ht="118.95" customHeight="1" x14ac:dyDescent="0.3">
      <c r="A99" s="1">
        <f t="shared" si="3"/>
        <v>188</v>
      </c>
      <c r="B99" cm="1">
        <f t="array" ref="B99">IFERROR(MAX(--_xlfn.TEXTSPLIT(C99,";")),0)</f>
        <v>181</v>
      </c>
      <c r="C99" t="s">
        <v>1823</v>
      </c>
      <c r="D99" s="1" t="s">
        <v>569</v>
      </c>
      <c r="E99" s="1" t="s">
        <v>350</v>
      </c>
      <c r="F99" s="1">
        <v>2</v>
      </c>
      <c r="G99" s="1" t="s">
        <v>570</v>
      </c>
      <c r="H99" s="1" t="s">
        <v>571</v>
      </c>
      <c r="I99" s="1" t="s">
        <v>309</v>
      </c>
      <c r="J99" s="1" t="s">
        <v>353</v>
      </c>
      <c r="K99" s="1" t="s">
        <v>38</v>
      </c>
      <c r="L99" s="1" t="s">
        <v>39</v>
      </c>
      <c r="M99" s="2" t="s">
        <v>40</v>
      </c>
      <c r="N99" s="3">
        <v>400000</v>
      </c>
      <c r="O99" s="3" t="s">
        <v>41</v>
      </c>
      <c r="P99" s="1" t="s">
        <v>572</v>
      </c>
      <c r="Q99" s="1" t="s">
        <v>133</v>
      </c>
      <c r="R99" s="3" t="s">
        <v>123</v>
      </c>
      <c r="S99" s="3" t="s">
        <v>301</v>
      </c>
      <c r="T99" s="2">
        <v>39909</v>
      </c>
      <c r="U99" s="2">
        <v>40170</v>
      </c>
      <c r="V99" s="2">
        <v>40192</v>
      </c>
      <c r="W99" s="2">
        <v>40211</v>
      </c>
      <c r="X99" s="2">
        <v>40285</v>
      </c>
      <c r="Y99" s="3" t="s">
        <v>573</v>
      </c>
      <c r="Z99" s="3" t="s">
        <v>574</v>
      </c>
      <c r="AA99" s="3" t="s">
        <v>575</v>
      </c>
      <c r="AB99" s="2">
        <v>40285</v>
      </c>
      <c r="AC99" s="2">
        <v>46979</v>
      </c>
      <c r="AD99" s="2" t="s">
        <v>49</v>
      </c>
      <c r="AE99" s="2" t="s">
        <v>50</v>
      </c>
      <c r="AF99" s="2" t="s">
        <v>576</v>
      </c>
      <c r="AG99" s="2">
        <v>41500</v>
      </c>
      <c r="AH99" s="12">
        <v>478814.1</v>
      </c>
      <c r="AI99" s="6">
        <v>1</v>
      </c>
      <c r="AJ99" s="71" t="str">
        <f>MID(D99,5,LEN(D99)-4)</f>
        <v>PP2G2</v>
      </c>
    </row>
    <row r="100" spans="1:36" ht="118.95" customHeight="1" x14ac:dyDescent="0.3">
      <c r="A100" s="1">
        <f t="shared" si="3"/>
        <v>188</v>
      </c>
      <c r="B100" cm="1">
        <f t="array" ref="B100">IFERROR(MAX(--_xlfn.TEXTSPLIT(C100,";")),0)</f>
        <v>184</v>
      </c>
      <c r="C100" t="s">
        <v>1824</v>
      </c>
      <c r="D100" s="1" t="s">
        <v>372</v>
      </c>
      <c r="E100" s="1" t="s">
        <v>1878</v>
      </c>
      <c r="F100" s="1">
        <v>1</v>
      </c>
      <c r="G100" s="1" t="s">
        <v>373</v>
      </c>
      <c r="H100" s="1" t="s">
        <v>374</v>
      </c>
      <c r="I100" s="1" t="s">
        <v>309</v>
      </c>
      <c r="J100" s="1" t="s">
        <v>375</v>
      </c>
      <c r="K100" s="1" t="s">
        <v>38</v>
      </c>
      <c r="L100" s="1" t="s">
        <v>39</v>
      </c>
      <c r="M100" s="2" t="s">
        <v>40</v>
      </c>
      <c r="N100" s="3">
        <v>2750000</v>
      </c>
      <c r="O100" s="3" t="s">
        <v>41</v>
      </c>
      <c r="P100" s="1" t="s">
        <v>376</v>
      </c>
      <c r="Q100" s="1" t="s">
        <v>133</v>
      </c>
      <c r="R100" s="3" t="s">
        <v>123</v>
      </c>
      <c r="S100" s="3" t="s">
        <v>312</v>
      </c>
      <c r="T100" s="2">
        <v>37632</v>
      </c>
      <c r="U100" s="2">
        <v>37973</v>
      </c>
      <c r="V100" s="2">
        <v>37985</v>
      </c>
      <c r="W100" s="2">
        <v>38023</v>
      </c>
      <c r="X100" s="2">
        <v>38079</v>
      </c>
      <c r="Y100" s="3" t="s">
        <v>377</v>
      </c>
      <c r="Z100" s="3" t="s">
        <v>378</v>
      </c>
      <c r="AA100" s="3" t="s">
        <v>379</v>
      </c>
      <c r="AB100" s="2">
        <v>38079</v>
      </c>
      <c r="AC100" s="2">
        <v>46699</v>
      </c>
      <c r="AD100" s="2" t="s">
        <v>49</v>
      </c>
      <c r="AE100" s="2" t="s">
        <v>50</v>
      </c>
      <c r="AF100" s="2" t="s">
        <v>380</v>
      </c>
      <c r="AG100" s="2">
        <v>39394</v>
      </c>
      <c r="AH100" s="5">
        <v>4410508.8400000008</v>
      </c>
      <c r="AI100" s="6">
        <v>1</v>
      </c>
      <c r="AJ100" s="71" t="str">
        <f>MID(D100,5,LEN(D100)-4)</f>
        <v>PP3G1</v>
      </c>
    </row>
    <row r="101" spans="1:36" ht="168.6" customHeight="1" x14ac:dyDescent="0.3">
      <c r="A101" s="1">
        <f t="shared" si="3"/>
        <v>188</v>
      </c>
      <c r="B101" cm="1">
        <f t="array" ref="B101">IFERROR(MAX(--_xlfn.TEXTSPLIT(C101,";")),0)</f>
        <v>185</v>
      </c>
      <c r="C101" t="s">
        <v>1825</v>
      </c>
      <c r="D101" s="1" t="s">
        <v>999</v>
      </c>
      <c r="E101" s="1" t="s">
        <v>1000</v>
      </c>
      <c r="F101" s="1">
        <v>1</v>
      </c>
      <c r="G101" s="1" t="s">
        <v>1001</v>
      </c>
      <c r="H101" s="1" t="s">
        <v>1002</v>
      </c>
      <c r="I101" s="1" t="s">
        <v>309</v>
      </c>
      <c r="J101" s="1" t="s">
        <v>866</v>
      </c>
      <c r="K101" s="1" t="s">
        <v>38</v>
      </c>
      <c r="L101" s="1" t="s">
        <v>39</v>
      </c>
      <c r="M101" s="2"/>
      <c r="N101" s="26">
        <v>1400000</v>
      </c>
      <c r="O101" s="1" t="s">
        <v>41</v>
      </c>
      <c r="P101" s="1" t="s">
        <v>1003</v>
      </c>
      <c r="Q101" s="1" t="s">
        <v>133</v>
      </c>
      <c r="R101" s="3" t="s">
        <v>44</v>
      </c>
      <c r="S101" s="3" t="s">
        <v>301</v>
      </c>
      <c r="T101" s="2">
        <v>45304</v>
      </c>
      <c r="U101" s="2">
        <v>45498</v>
      </c>
      <c r="V101" s="2">
        <v>45524</v>
      </c>
      <c r="W101" s="2">
        <v>45561</v>
      </c>
      <c r="X101" s="2">
        <v>45600</v>
      </c>
      <c r="Y101" s="1" t="s">
        <v>1004</v>
      </c>
      <c r="Z101" s="1" t="s">
        <v>1005</v>
      </c>
      <c r="AA101" s="3" t="s">
        <v>1006</v>
      </c>
      <c r="AB101" s="2">
        <v>45600</v>
      </c>
      <c r="AC101" s="2">
        <v>51703</v>
      </c>
      <c r="AD101" s="2" t="s">
        <v>106</v>
      </c>
      <c r="AE101" s="1" t="s">
        <v>269</v>
      </c>
      <c r="AF101" s="1" t="s">
        <v>269</v>
      </c>
      <c r="AG101" s="1" t="s">
        <v>269</v>
      </c>
      <c r="AH101" s="22">
        <v>1400000</v>
      </c>
      <c r="AI101" s="23" t="s">
        <v>269</v>
      </c>
      <c r="AJ101" s="71" t="str">
        <f>MID(D101,5,LEN(D101)-4)</f>
        <v>PP4T1</v>
      </c>
    </row>
    <row r="102" spans="1:36" ht="131.4" customHeight="1" x14ac:dyDescent="0.3">
      <c r="A102" s="1">
        <f t="shared" si="3"/>
        <v>188</v>
      </c>
      <c r="B102" cm="1">
        <f t="array" ref="B102">IFERROR(MAX(--_xlfn.TEXTSPLIT(C102,";")),0)</f>
        <v>186</v>
      </c>
      <c r="C102" t="s">
        <v>1826</v>
      </c>
      <c r="D102" s="1" t="s">
        <v>439</v>
      </c>
      <c r="E102" s="1" t="s">
        <v>440</v>
      </c>
      <c r="F102" s="1">
        <v>1</v>
      </c>
      <c r="G102" s="1" t="s">
        <v>441</v>
      </c>
      <c r="H102" s="1" t="s">
        <v>442</v>
      </c>
      <c r="I102" s="1" t="s">
        <v>385</v>
      </c>
      <c r="J102" s="1" t="s">
        <v>37</v>
      </c>
      <c r="K102" s="1" t="s">
        <v>38</v>
      </c>
      <c r="L102" s="1" t="s">
        <v>39</v>
      </c>
      <c r="M102" s="2" t="s">
        <v>40</v>
      </c>
      <c r="N102" s="3">
        <v>390562</v>
      </c>
      <c r="O102" s="3" t="s">
        <v>41</v>
      </c>
      <c r="P102" s="1" t="s">
        <v>443</v>
      </c>
      <c r="Q102" s="1" t="s">
        <v>133</v>
      </c>
      <c r="R102" s="3" t="s">
        <v>44</v>
      </c>
      <c r="S102" s="3" t="s">
        <v>114</v>
      </c>
      <c r="T102" s="2">
        <v>38055</v>
      </c>
      <c r="U102" s="2">
        <v>38245</v>
      </c>
      <c r="V102" s="2">
        <v>38274</v>
      </c>
      <c r="W102" s="2">
        <v>38321</v>
      </c>
      <c r="X102" s="2">
        <v>38406</v>
      </c>
      <c r="Y102" s="3" t="s">
        <v>444</v>
      </c>
      <c r="Z102" s="3" t="s">
        <v>445</v>
      </c>
      <c r="AA102" s="3" t="s">
        <v>446</v>
      </c>
      <c r="AB102" s="2">
        <v>38406</v>
      </c>
      <c r="AC102" s="2">
        <v>46996</v>
      </c>
      <c r="AD102" s="2" t="s">
        <v>49</v>
      </c>
      <c r="AE102" s="2" t="s">
        <v>50</v>
      </c>
      <c r="AF102" s="2">
        <v>39290</v>
      </c>
      <c r="AG102" s="2">
        <v>39415</v>
      </c>
      <c r="AH102" s="8">
        <v>1404626.9200000002</v>
      </c>
      <c r="AI102" s="6">
        <v>1</v>
      </c>
      <c r="AJ102" s="1" t="str">
        <f>MID(D102,5,LEN(D102)-4)</f>
        <v>PTLA1</v>
      </c>
    </row>
    <row r="103" spans="1:36" ht="118.95" customHeight="1" x14ac:dyDescent="0.3">
      <c r="A103" s="1">
        <f t="shared" si="3"/>
        <v>188</v>
      </c>
      <c r="B103" cm="1">
        <f t="array" ref="B103">IFERROR(MAX(--_xlfn.TEXTSPLIT(C103,";")),0)</f>
        <v>129</v>
      </c>
      <c r="C103" t="s">
        <v>1827</v>
      </c>
      <c r="D103" s="1" t="s">
        <v>839</v>
      </c>
      <c r="E103" s="1" t="s">
        <v>1879</v>
      </c>
      <c r="F103" s="1">
        <v>1</v>
      </c>
      <c r="G103" s="1" t="s">
        <v>840</v>
      </c>
      <c r="H103" s="1" t="s">
        <v>841</v>
      </c>
      <c r="I103" s="1" t="s">
        <v>64</v>
      </c>
      <c r="J103" s="1" t="s">
        <v>842</v>
      </c>
      <c r="K103" s="1" t="s">
        <v>38</v>
      </c>
      <c r="L103" s="1" t="s">
        <v>39</v>
      </c>
      <c r="M103" s="2" t="s">
        <v>40</v>
      </c>
      <c r="N103" s="3">
        <v>3965000</v>
      </c>
      <c r="O103" s="3" t="s">
        <v>41</v>
      </c>
      <c r="P103" s="1" t="s">
        <v>843</v>
      </c>
      <c r="Q103" s="1" t="s">
        <v>662</v>
      </c>
      <c r="R103" s="3" t="s">
        <v>44</v>
      </c>
      <c r="S103" s="3" t="s">
        <v>152</v>
      </c>
      <c r="T103" s="2">
        <v>43694</v>
      </c>
      <c r="U103" s="2">
        <v>44155</v>
      </c>
      <c r="V103" s="2">
        <v>44187</v>
      </c>
      <c r="W103" s="2">
        <v>44218</v>
      </c>
      <c r="X103" s="2">
        <v>44277</v>
      </c>
      <c r="Y103" s="3" t="s">
        <v>844</v>
      </c>
      <c r="Z103" s="3" t="s">
        <v>845</v>
      </c>
      <c r="AA103" s="3" t="s">
        <v>846</v>
      </c>
      <c r="AB103" s="2">
        <v>44277</v>
      </c>
      <c r="AC103" s="2">
        <v>55965</v>
      </c>
      <c r="AD103" s="2" t="s">
        <v>106</v>
      </c>
      <c r="AE103" s="2">
        <v>45072</v>
      </c>
      <c r="AF103" s="2" t="s">
        <v>697</v>
      </c>
      <c r="AG103" s="2" t="s">
        <v>697</v>
      </c>
      <c r="AH103" s="5">
        <v>3965000</v>
      </c>
      <c r="AI103" s="6" t="s">
        <v>847</v>
      </c>
      <c r="AJ103" s="1" t="str">
        <f>MID(D103,5,LEN(D103)-4)</f>
        <v>RAUS1</v>
      </c>
    </row>
    <row r="104" spans="1:36" ht="118.95" customHeight="1" x14ac:dyDescent="0.3">
      <c r="A104" s="1">
        <f t="shared" si="3"/>
        <v>188</v>
      </c>
      <c r="B104" cm="1">
        <f t="array" ref="B104">IFERROR(MAX(--_xlfn.TEXTSPLIT(C104,";")),0)</f>
        <v>132</v>
      </c>
      <c r="C104" t="s">
        <v>1828</v>
      </c>
      <c r="D104" s="1" t="s">
        <v>630</v>
      </c>
      <c r="E104" s="1" t="s">
        <v>1880</v>
      </c>
      <c r="F104" s="1">
        <v>1</v>
      </c>
      <c r="G104" s="1" t="s">
        <v>631</v>
      </c>
      <c r="H104" s="1" t="s">
        <v>632</v>
      </c>
      <c r="I104" s="1" t="s">
        <v>36</v>
      </c>
      <c r="J104" s="1" t="s">
        <v>190</v>
      </c>
      <c r="K104" s="1" t="s">
        <v>38</v>
      </c>
      <c r="L104" s="1" t="s">
        <v>66</v>
      </c>
      <c r="M104" s="2">
        <v>39281</v>
      </c>
      <c r="N104" s="3">
        <v>6560000</v>
      </c>
      <c r="O104" s="3" t="s">
        <v>41</v>
      </c>
      <c r="P104" s="1" t="s">
        <v>264</v>
      </c>
      <c r="Q104" s="1" t="s">
        <v>43</v>
      </c>
      <c r="R104" s="3" t="s">
        <v>44</v>
      </c>
      <c r="S104" s="3" t="s">
        <v>484</v>
      </c>
      <c r="T104" s="2">
        <v>40903</v>
      </c>
      <c r="U104" s="2">
        <v>41249</v>
      </c>
      <c r="V104" s="2">
        <v>41264</v>
      </c>
      <c r="W104" s="2">
        <v>41513</v>
      </c>
      <c r="X104" s="2">
        <v>41757</v>
      </c>
      <c r="Y104" s="3" t="s">
        <v>633</v>
      </c>
      <c r="Z104" s="3" t="s">
        <v>634</v>
      </c>
      <c r="AA104" s="3" t="s">
        <v>48</v>
      </c>
      <c r="AB104" s="2">
        <v>41757</v>
      </c>
      <c r="AC104" s="2">
        <v>42325</v>
      </c>
      <c r="AD104" s="2" t="s">
        <v>106</v>
      </c>
      <c r="AE104" s="2" t="s">
        <v>269</v>
      </c>
      <c r="AF104" s="2" t="s">
        <v>269</v>
      </c>
      <c r="AG104" s="2" t="s">
        <v>269</v>
      </c>
      <c r="AH104" s="5">
        <v>7780.25</v>
      </c>
      <c r="AI104" s="6">
        <v>0</v>
      </c>
      <c r="AJ104" s="71" t="str">
        <f>MID(D104,5,LEN(D104)-4)</f>
        <v>RLOA1</v>
      </c>
    </row>
    <row r="105" spans="1:36" ht="118.95" customHeight="1" x14ac:dyDescent="0.3">
      <c r="A105" s="1">
        <f t="shared" si="3"/>
        <v>188</v>
      </c>
      <c r="B105" cm="1">
        <f t="array" ref="B105">IFERROR(MAX(--_xlfn.TEXTSPLIT(C105,";")),0)</f>
        <v>132</v>
      </c>
      <c r="C105" t="s">
        <v>1828</v>
      </c>
      <c r="D105" s="1" t="s">
        <v>770</v>
      </c>
      <c r="E105" s="1" t="s">
        <v>1880</v>
      </c>
      <c r="F105" s="1">
        <v>2</v>
      </c>
      <c r="G105" s="1" t="s">
        <v>771</v>
      </c>
      <c r="H105" s="1" t="s">
        <v>772</v>
      </c>
      <c r="I105" s="1" t="s">
        <v>36</v>
      </c>
      <c r="J105" s="1" t="s">
        <v>190</v>
      </c>
      <c r="K105" s="1" t="s">
        <v>38</v>
      </c>
      <c r="L105" s="1" t="s">
        <v>39</v>
      </c>
      <c r="M105" s="2"/>
      <c r="N105" s="3">
        <v>7330000</v>
      </c>
      <c r="O105" s="3" t="s">
        <v>41</v>
      </c>
      <c r="P105" s="4" t="s">
        <v>773</v>
      </c>
      <c r="Q105" s="1" t="s">
        <v>662</v>
      </c>
      <c r="R105" s="3" t="s">
        <v>44</v>
      </c>
      <c r="S105" s="3" t="s">
        <v>152</v>
      </c>
      <c r="T105" s="2">
        <v>42832</v>
      </c>
      <c r="U105" s="2">
        <v>43027</v>
      </c>
      <c r="V105" s="2">
        <v>43055</v>
      </c>
      <c r="W105" s="2">
        <v>43096</v>
      </c>
      <c r="X105" s="2">
        <v>43200</v>
      </c>
      <c r="Y105" s="3" t="s">
        <v>774</v>
      </c>
      <c r="Z105" s="3" t="s">
        <v>775</v>
      </c>
      <c r="AA105" s="3" t="s">
        <v>776</v>
      </c>
      <c r="AB105" s="2">
        <v>43200</v>
      </c>
      <c r="AC105" s="2">
        <v>57810</v>
      </c>
      <c r="AD105" s="2" t="s">
        <v>106</v>
      </c>
      <c r="AE105" s="2">
        <v>44060</v>
      </c>
      <c r="AF105" s="2" t="s">
        <v>697</v>
      </c>
      <c r="AG105" s="2" t="s">
        <v>697</v>
      </c>
      <c r="AH105" s="5">
        <v>7330000</v>
      </c>
      <c r="AI105" s="6" t="s">
        <v>777</v>
      </c>
      <c r="AJ105" s="71" t="str">
        <f>MID(D105,5,LEN(D105)-4)</f>
        <v>RLOA2</v>
      </c>
    </row>
    <row r="106" spans="1:36" ht="118.95" customHeight="1" x14ac:dyDescent="0.3">
      <c r="A106" s="1">
        <f t="shared" si="3"/>
        <v>188</v>
      </c>
      <c r="B106" cm="1">
        <f t="array" ref="B106">IFERROR(MAX(--_xlfn.TEXTSPLIT(C106,";")),0)</f>
        <v>133</v>
      </c>
      <c r="C106" t="s">
        <v>1829</v>
      </c>
      <c r="D106" s="1" t="s">
        <v>760</v>
      </c>
      <c r="E106" s="1" t="s">
        <v>761</v>
      </c>
      <c r="F106" s="1">
        <v>1</v>
      </c>
      <c r="G106" s="1" t="s">
        <v>762</v>
      </c>
      <c r="H106" s="1" t="s">
        <v>763</v>
      </c>
      <c r="I106" s="1" t="s">
        <v>36</v>
      </c>
      <c r="J106" s="1" t="s">
        <v>764</v>
      </c>
      <c r="K106" s="1" t="s">
        <v>38</v>
      </c>
      <c r="L106" s="1" t="s">
        <v>66</v>
      </c>
      <c r="M106" s="2">
        <v>38670</v>
      </c>
      <c r="N106" s="3">
        <v>6125000</v>
      </c>
      <c r="O106" s="3" t="s">
        <v>41</v>
      </c>
      <c r="P106" s="4" t="s">
        <v>765</v>
      </c>
      <c r="Q106" s="1" t="s">
        <v>662</v>
      </c>
      <c r="R106" s="3" t="s">
        <v>44</v>
      </c>
      <c r="S106" s="3" t="s">
        <v>484</v>
      </c>
      <c r="T106" s="2">
        <v>42690</v>
      </c>
      <c r="U106" s="2">
        <v>42964</v>
      </c>
      <c r="V106" s="2">
        <v>42992</v>
      </c>
      <c r="W106" s="2">
        <v>43080</v>
      </c>
      <c r="X106" s="2">
        <v>43200</v>
      </c>
      <c r="Y106" s="3" t="s">
        <v>766</v>
      </c>
      <c r="Z106" s="3" t="s">
        <v>767</v>
      </c>
      <c r="AA106" s="3" t="s">
        <v>768</v>
      </c>
      <c r="AB106" s="2">
        <v>43200</v>
      </c>
      <c r="AC106" s="2">
        <v>55983</v>
      </c>
      <c r="AD106" s="2" t="s">
        <v>106</v>
      </c>
      <c r="AE106" s="2">
        <v>44124</v>
      </c>
      <c r="AF106" s="2" t="s">
        <v>697</v>
      </c>
      <c r="AG106" s="2" t="s">
        <v>697</v>
      </c>
      <c r="AH106" s="8">
        <v>6658686.9000000004</v>
      </c>
      <c r="AI106" s="6" t="s">
        <v>769</v>
      </c>
      <c r="AJ106" s="71" t="str">
        <f>MID(D106,5,LEN(D106)-4)</f>
        <v>RNAH1</v>
      </c>
    </row>
    <row r="107" spans="1:36" ht="28.8" x14ac:dyDescent="0.3">
      <c r="A107" s="1">
        <f t="shared" si="3"/>
        <v>188</v>
      </c>
      <c r="B107" cm="1">
        <f t="array" ref="B107">IFERROR(MAX(--_xlfn.TEXTSPLIT(C107,";")),0)</f>
        <v>134</v>
      </c>
      <c r="C107" t="s">
        <v>1830</v>
      </c>
      <c r="D107" s="58" t="s">
        <v>1847</v>
      </c>
      <c r="E107" s="62" t="s">
        <v>1736</v>
      </c>
      <c r="F107" s="59">
        <v>1</v>
      </c>
      <c r="G107" s="58" t="s">
        <v>1736</v>
      </c>
      <c r="H107" s="59"/>
      <c r="I107" s="59" t="s">
        <v>36</v>
      </c>
      <c r="J107" s="59" t="s">
        <v>55</v>
      </c>
      <c r="K107" s="59"/>
      <c r="L107" s="59"/>
      <c r="M107" s="60"/>
      <c r="N107" s="61"/>
      <c r="O107" s="59"/>
      <c r="P107" s="59"/>
      <c r="Q107" s="59" t="s">
        <v>693</v>
      </c>
      <c r="R107" s="59"/>
      <c r="S107" s="59"/>
      <c r="T107" s="60"/>
      <c r="U107" s="60"/>
      <c r="V107" s="60"/>
      <c r="W107" s="60"/>
      <c r="X107" s="60"/>
      <c r="Y107" s="59"/>
      <c r="Z107" s="59"/>
      <c r="AA107" s="59"/>
      <c r="AB107" s="60"/>
      <c r="AC107" s="60"/>
      <c r="AD107" s="59"/>
      <c r="AE107" s="59"/>
      <c r="AF107" s="59"/>
      <c r="AG107" s="59"/>
      <c r="AH107" s="22"/>
      <c r="AI107" s="27"/>
      <c r="AJ107" s="71" t="str">
        <f>MID(D107,5,LEN(D107)-4)</f>
        <v>RPMO1</v>
      </c>
    </row>
    <row r="108" spans="1:36" ht="118.95" customHeight="1" x14ac:dyDescent="0.3">
      <c r="A108" s="1">
        <f t="shared" si="3"/>
        <v>188</v>
      </c>
      <c r="B108" cm="1">
        <f t="array" ref="B108">IFERROR(MAX(--_xlfn.TEXTSPLIT(C108,";")),0)</f>
        <v>136</v>
      </c>
      <c r="C108" t="s">
        <v>1831</v>
      </c>
      <c r="D108" s="58" t="s">
        <v>1745</v>
      </c>
      <c r="E108" s="62" t="s">
        <v>1737</v>
      </c>
      <c r="F108" s="59"/>
      <c r="G108" s="58"/>
      <c r="H108" s="59"/>
      <c r="I108" s="59" t="s">
        <v>36</v>
      </c>
      <c r="J108" s="59" t="s">
        <v>75</v>
      </c>
      <c r="K108" s="59"/>
      <c r="L108" s="59"/>
      <c r="M108" s="60"/>
      <c r="N108" s="61"/>
      <c r="O108" s="59"/>
      <c r="P108" s="59"/>
      <c r="Q108" s="59" t="s">
        <v>693</v>
      </c>
      <c r="R108" s="59"/>
      <c r="S108" s="59"/>
      <c r="T108" s="60"/>
      <c r="U108" s="60"/>
      <c r="V108" s="60"/>
      <c r="W108" s="60"/>
      <c r="X108" s="60"/>
      <c r="Y108" s="59"/>
      <c r="Z108" s="59"/>
      <c r="AA108" s="59"/>
      <c r="AB108" s="60"/>
      <c r="AC108" s="60"/>
      <c r="AD108" s="59"/>
      <c r="AE108" s="59"/>
      <c r="AF108" s="59"/>
      <c r="AG108" s="59"/>
      <c r="AH108" s="22"/>
      <c r="AI108" s="23"/>
      <c r="AJ108" s="71" t="str">
        <f>MID(D108,5,LEN(D108)-4)</f>
        <v>RTCC</v>
      </c>
    </row>
    <row r="109" spans="1:36" ht="118.95" customHeight="1" x14ac:dyDescent="0.3">
      <c r="A109" s="1">
        <f t="shared" si="3"/>
        <v>188</v>
      </c>
      <c r="B109" cm="1">
        <f t="array" ref="B109">IFERROR(MAX(--_xlfn.TEXTSPLIT(C109,";")),0)</f>
        <v>143</v>
      </c>
      <c r="C109" t="s">
        <v>1832</v>
      </c>
      <c r="D109" s="1" t="s">
        <v>279</v>
      </c>
      <c r="E109" s="1" t="s">
        <v>280</v>
      </c>
      <c r="F109" s="1">
        <v>1</v>
      </c>
      <c r="G109" s="1" t="s">
        <v>281</v>
      </c>
      <c r="H109" s="1" t="s">
        <v>282</v>
      </c>
      <c r="I109" s="1" t="s">
        <v>36</v>
      </c>
      <c r="J109" s="1" t="s">
        <v>37</v>
      </c>
      <c r="K109" s="1" t="s">
        <v>38</v>
      </c>
      <c r="L109" s="1" t="s">
        <v>39</v>
      </c>
      <c r="M109" s="2" t="s">
        <v>40</v>
      </c>
      <c r="N109" s="3">
        <v>2383470</v>
      </c>
      <c r="O109" s="3" t="s">
        <v>41</v>
      </c>
      <c r="P109" s="1" t="s">
        <v>283</v>
      </c>
      <c r="Q109" s="1" t="s">
        <v>133</v>
      </c>
      <c r="R109" s="3" t="s">
        <v>123</v>
      </c>
      <c r="S109" s="3" t="s">
        <v>85</v>
      </c>
      <c r="T109" s="2">
        <v>36500</v>
      </c>
      <c r="U109" s="2">
        <v>36692</v>
      </c>
      <c r="V109" s="2">
        <v>36707</v>
      </c>
      <c r="W109" s="2">
        <v>36756</v>
      </c>
      <c r="X109" s="2">
        <v>36841</v>
      </c>
      <c r="Y109" s="3" t="s">
        <v>284</v>
      </c>
      <c r="Z109" s="3" t="s">
        <v>285</v>
      </c>
      <c r="AA109" s="3" t="s">
        <v>286</v>
      </c>
      <c r="AB109" s="2">
        <v>37211</v>
      </c>
      <c r="AC109" s="2">
        <v>48163</v>
      </c>
      <c r="AD109" s="2" t="s">
        <v>49</v>
      </c>
      <c r="AE109" s="2">
        <v>37228</v>
      </c>
      <c r="AF109" s="2">
        <v>38035</v>
      </c>
      <c r="AG109" s="2">
        <v>38349</v>
      </c>
      <c r="AH109" s="8">
        <v>3715501.1199999996</v>
      </c>
      <c r="AI109" s="6">
        <v>1</v>
      </c>
      <c r="AJ109" s="71" t="str">
        <f>MID(D109,5,LEN(D109)-4)</f>
        <v>RVLC1</v>
      </c>
    </row>
    <row r="110" spans="1:36" ht="118.95" customHeight="1" x14ac:dyDescent="0.3">
      <c r="A110" s="1">
        <f t="shared" si="3"/>
        <v>188</v>
      </c>
      <c r="B110" cm="1">
        <f t="array" ref="B110">IFERROR(MAX(--_xlfn.TEXTSPLIT(C110,";")),0)</f>
        <v>144</v>
      </c>
      <c r="C110" t="s">
        <v>1833</v>
      </c>
      <c r="D110" s="1" t="s">
        <v>138</v>
      </c>
      <c r="E110" s="1" t="s">
        <v>1881</v>
      </c>
      <c r="F110" s="1">
        <v>1</v>
      </c>
      <c r="G110" s="1" t="s">
        <v>139</v>
      </c>
      <c r="H110" s="1" t="s">
        <v>140</v>
      </c>
      <c r="I110" s="1" t="s">
        <v>36</v>
      </c>
      <c r="J110" s="1" t="s">
        <v>141</v>
      </c>
      <c r="K110" s="1" t="s">
        <v>38</v>
      </c>
      <c r="L110" s="1" t="s">
        <v>39</v>
      </c>
      <c r="M110" s="2" t="s">
        <v>40</v>
      </c>
      <c r="N110" s="3">
        <v>8200000</v>
      </c>
      <c r="O110" s="3" t="s">
        <v>41</v>
      </c>
      <c r="P110" s="1" t="s">
        <v>142</v>
      </c>
      <c r="Q110" s="1" t="s">
        <v>43</v>
      </c>
      <c r="R110" s="3" t="s">
        <v>123</v>
      </c>
      <c r="S110" s="3" t="s">
        <v>143</v>
      </c>
      <c r="T110" s="2">
        <v>35215</v>
      </c>
      <c r="U110" s="2">
        <v>35244</v>
      </c>
      <c r="V110" s="2">
        <v>35263</v>
      </c>
      <c r="W110" s="2">
        <v>35352</v>
      </c>
      <c r="X110" s="2">
        <v>35492</v>
      </c>
      <c r="Y110" s="3" t="s">
        <v>144</v>
      </c>
      <c r="Z110" s="61" t="s">
        <v>145</v>
      </c>
      <c r="AA110" s="3" t="s">
        <v>146</v>
      </c>
      <c r="AB110" s="2">
        <v>35492</v>
      </c>
      <c r="AC110" s="2">
        <v>45747</v>
      </c>
      <c r="AD110" s="2" t="s">
        <v>49</v>
      </c>
      <c r="AE110" s="2" t="s">
        <v>50</v>
      </c>
      <c r="AF110" s="2">
        <v>37256</v>
      </c>
      <c r="AG110" s="2">
        <v>37614</v>
      </c>
      <c r="AH110" s="5">
        <v>20847627.600917093</v>
      </c>
      <c r="AI110" s="6">
        <v>1</v>
      </c>
      <c r="AJ110" s="71" t="str">
        <f>MID(D110,5,LEN(D110)-4)</f>
        <v>SALV1</v>
      </c>
    </row>
    <row r="111" spans="1:36" ht="118.95" customHeight="1" x14ac:dyDescent="0.3">
      <c r="A111" s="1">
        <f t="shared" si="3"/>
        <v>188</v>
      </c>
      <c r="B111" cm="1">
        <f t="array" ref="B111">IFERROR(MAX(--_xlfn.TEXTSPLIT(C111,";")),0)</f>
        <v>144</v>
      </c>
      <c r="C111" t="s">
        <v>1833</v>
      </c>
      <c r="D111" s="1" t="s">
        <v>977</v>
      </c>
      <c r="E111" s="1" t="s">
        <v>1881</v>
      </c>
      <c r="F111" s="1">
        <v>2</v>
      </c>
      <c r="G111" s="1" t="s">
        <v>978</v>
      </c>
      <c r="H111" s="1" t="s">
        <v>979</v>
      </c>
      <c r="I111" s="1" t="s">
        <v>36</v>
      </c>
      <c r="J111" s="1" t="s">
        <v>141</v>
      </c>
      <c r="K111" s="1" t="s">
        <v>38</v>
      </c>
      <c r="L111" s="1" t="s">
        <v>39</v>
      </c>
      <c r="M111" s="2"/>
      <c r="N111" s="3">
        <v>28288000</v>
      </c>
      <c r="O111" s="1" t="s">
        <v>41</v>
      </c>
      <c r="P111" s="1" t="s">
        <v>827</v>
      </c>
      <c r="Q111" s="1" t="s">
        <v>662</v>
      </c>
      <c r="R111" s="3" t="s">
        <v>44</v>
      </c>
      <c r="S111" s="3" t="s">
        <v>152</v>
      </c>
      <c r="T111" s="2">
        <v>45121</v>
      </c>
      <c r="U111" s="2">
        <v>45491</v>
      </c>
      <c r="V111" s="2">
        <v>45518</v>
      </c>
      <c r="W111" s="2">
        <v>45618</v>
      </c>
      <c r="X111" s="2">
        <v>45708</v>
      </c>
      <c r="Y111" s="1" t="s">
        <v>980</v>
      </c>
      <c r="Z111" s="1" t="s">
        <v>981</v>
      </c>
      <c r="AA111" s="1" t="s">
        <v>982</v>
      </c>
      <c r="AB111" s="2">
        <v>45708</v>
      </c>
      <c r="AC111" s="2">
        <v>56665</v>
      </c>
      <c r="AD111" s="2" t="s">
        <v>106</v>
      </c>
      <c r="AE111" s="2" t="s">
        <v>855</v>
      </c>
      <c r="AF111" s="2" t="s">
        <v>697</v>
      </c>
      <c r="AG111" s="2" t="s">
        <v>697</v>
      </c>
      <c r="AH111" s="22">
        <v>28288000</v>
      </c>
      <c r="AI111" s="6">
        <v>0</v>
      </c>
      <c r="AJ111" s="71" t="str">
        <f>MID(D111,5,LEN(D111)-4)</f>
        <v>SALV2</v>
      </c>
    </row>
    <row r="112" spans="1:36" ht="118.95" customHeight="1" x14ac:dyDescent="0.3">
      <c r="A112" s="1">
        <f t="shared" si="3"/>
        <v>188</v>
      </c>
      <c r="B112" cm="1">
        <f t="array" ref="B112">IFERROR(MAX(--_xlfn.TEXTSPLIT(C112,";")),0)</f>
        <v>147</v>
      </c>
      <c r="C112" t="s">
        <v>1834</v>
      </c>
      <c r="D112" s="59" t="s">
        <v>89</v>
      </c>
      <c r="E112" s="59" t="s">
        <v>1740</v>
      </c>
      <c r="F112" s="1">
        <v>1</v>
      </c>
      <c r="G112" s="59" t="s">
        <v>1741</v>
      </c>
      <c r="H112" s="1" t="s">
        <v>91</v>
      </c>
      <c r="I112" s="1" t="s">
        <v>36</v>
      </c>
      <c r="J112" s="1" t="s">
        <v>92</v>
      </c>
      <c r="K112" s="1" t="s">
        <v>38</v>
      </c>
      <c r="L112" s="1" t="s">
        <v>39</v>
      </c>
      <c r="M112" s="2" t="s">
        <v>40</v>
      </c>
      <c r="N112" s="3">
        <v>3654770</v>
      </c>
      <c r="O112" s="3" t="s">
        <v>41</v>
      </c>
      <c r="P112" s="4" t="s">
        <v>93</v>
      </c>
      <c r="Q112" s="1" t="s">
        <v>43</v>
      </c>
      <c r="R112" s="3" t="s">
        <v>44</v>
      </c>
      <c r="S112" s="3" t="s">
        <v>94</v>
      </c>
      <c r="T112" s="2">
        <v>34691</v>
      </c>
      <c r="U112" s="2">
        <v>34801</v>
      </c>
      <c r="V112" s="2">
        <v>34850</v>
      </c>
      <c r="W112" s="2">
        <v>34866</v>
      </c>
      <c r="X112" s="2">
        <v>34935</v>
      </c>
      <c r="Y112" s="3" t="s">
        <v>95</v>
      </c>
      <c r="Z112" s="3" t="s">
        <v>96</v>
      </c>
      <c r="AA112" s="3" t="s">
        <v>97</v>
      </c>
      <c r="AB112" s="2">
        <v>34963</v>
      </c>
      <c r="AC112" s="2">
        <v>44641</v>
      </c>
      <c r="AD112" s="2" t="s">
        <v>49</v>
      </c>
      <c r="AE112" s="2" t="s">
        <v>50</v>
      </c>
      <c r="AF112" s="2">
        <v>36393</v>
      </c>
      <c r="AG112" s="2">
        <v>37050</v>
      </c>
      <c r="AH112" s="5">
        <v>7424103.2967182985</v>
      </c>
      <c r="AI112" s="6">
        <v>1</v>
      </c>
      <c r="AJ112" s="71" t="str">
        <f>MID(D112,5,LEN(D112)-4)</f>
        <v>SASA1</v>
      </c>
    </row>
    <row r="113" spans="1:36" ht="118.95" customHeight="1" x14ac:dyDescent="0.3">
      <c r="A113" s="1">
        <f t="shared" si="3"/>
        <v>188</v>
      </c>
      <c r="B113" cm="1">
        <f t="array" ref="B113">IFERROR(MAX(--_xlfn.TEXTSPLIT(C113,";")),0)</f>
        <v>147</v>
      </c>
      <c r="C113" t="s">
        <v>1834</v>
      </c>
      <c r="D113" s="1" t="s">
        <v>895</v>
      </c>
      <c r="E113" s="59" t="s">
        <v>1740</v>
      </c>
      <c r="F113" s="1">
        <v>2</v>
      </c>
      <c r="G113" s="1" t="s">
        <v>896</v>
      </c>
      <c r="H113" s="1" t="s">
        <v>897</v>
      </c>
      <c r="I113" s="1" t="s">
        <v>36</v>
      </c>
      <c r="J113" s="1" t="s">
        <v>92</v>
      </c>
      <c r="K113" s="1" t="s">
        <v>38</v>
      </c>
      <c r="L113" s="1" t="s">
        <v>39</v>
      </c>
      <c r="M113" s="2" t="s">
        <v>40</v>
      </c>
      <c r="N113" s="3">
        <v>21287000</v>
      </c>
      <c r="O113" s="3" t="s">
        <v>41</v>
      </c>
      <c r="P113" s="1" t="s">
        <v>898</v>
      </c>
      <c r="Q113" s="1" t="s">
        <v>662</v>
      </c>
      <c r="R113" s="3" t="s">
        <v>44</v>
      </c>
      <c r="S113" s="3" t="s">
        <v>152</v>
      </c>
      <c r="T113" s="2">
        <v>44261</v>
      </c>
      <c r="U113" s="2">
        <v>44498</v>
      </c>
      <c r="V113" s="2">
        <v>44526</v>
      </c>
      <c r="W113" s="2">
        <v>44605</v>
      </c>
      <c r="X113" s="2">
        <v>44631</v>
      </c>
      <c r="Y113" s="3" t="s">
        <v>899</v>
      </c>
      <c r="Z113" s="22" t="s">
        <v>900</v>
      </c>
      <c r="AA113" s="3" t="s">
        <v>901</v>
      </c>
      <c r="AB113" s="2">
        <v>44631</v>
      </c>
      <c r="AC113" s="2">
        <v>56319</v>
      </c>
      <c r="AD113" s="2" t="s">
        <v>106</v>
      </c>
      <c r="AE113" s="2">
        <v>45931</v>
      </c>
      <c r="AF113" s="2" t="s">
        <v>697</v>
      </c>
      <c r="AG113" s="2" t="s">
        <v>697</v>
      </c>
      <c r="AH113" s="5">
        <v>21287000</v>
      </c>
      <c r="AI113" s="6">
        <v>0</v>
      </c>
      <c r="AJ113" s="71" t="str">
        <f>MID(D113,5,LEN(D113)-4)</f>
        <v>SASA2</v>
      </c>
    </row>
    <row r="114" spans="1:36" ht="118.95" customHeight="1" x14ac:dyDescent="0.3">
      <c r="A114" s="1">
        <f t="shared" si="3"/>
        <v>188</v>
      </c>
      <c r="B114" cm="1">
        <f t="array" ref="B114">IFERROR(MAX(--_xlfn.TEXTSPLIT(C114,";")),0)</f>
        <v>149</v>
      </c>
      <c r="C114" t="s">
        <v>1835</v>
      </c>
      <c r="D114" s="1" t="s">
        <v>221</v>
      </c>
      <c r="E114" s="1" t="s">
        <v>1882</v>
      </c>
      <c r="F114" s="1">
        <v>1</v>
      </c>
      <c r="G114" s="1" t="s">
        <v>222</v>
      </c>
      <c r="H114" s="1" t="s">
        <v>223</v>
      </c>
      <c r="I114" s="1" t="s">
        <v>36</v>
      </c>
      <c r="J114" s="1" t="s">
        <v>224</v>
      </c>
      <c r="K114" s="1" t="s">
        <v>38</v>
      </c>
      <c r="L114" s="1" t="s">
        <v>39</v>
      </c>
      <c r="M114" s="2" t="s">
        <v>40</v>
      </c>
      <c r="N114" s="3">
        <v>20639400</v>
      </c>
      <c r="O114" s="3" t="s">
        <v>41</v>
      </c>
      <c r="P114" s="1" t="s">
        <v>225</v>
      </c>
      <c r="Q114" s="1" t="s">
        <v>133</v>
      </c>
      <c r="R114" s="3" t="s">
        <v>123</v>
      </c>
      <c r="S114" s="3" t="s">
        <v>226</v>
      </c>
      <c r="T114" s="2">
        <v>35906</v>
      </c>
      <c r="U114" s="2">
        <v>35912</v>
      </c>
      <c r="V114" s="2">
        <v>35927</v>
      </c>
      <c r="W114" s="2">
        <v>35976</v>
      </c>
      <c r="X114" s="2">
        <v>36038</v>
      </c>
      <c r="Y114" s="3" t="s">
        <v>227</v>
      </c>
      <c r="Z114" s="22" t="s">
        <v>228</v>
      </c>
      <c r="AA114" s="3" t="s">
        <v>229</v>
      </c>
      <c r="AB114" s="2">
        <v>36415</v>
      </c>
      <c r="AC114" s="2">
        <v>49305</v>
      </c>
      <c r="AD114" s="2" t="s">
        <v>106</v>
      </c>
      <c r="AE114" s="2" t="s">
        <v>50</v>
      </c>
      <c r="AF114" s="2">
        <v>40269</v>
      </c>
      <c r="AG114" s="2">
        <v>40298</v>
      </c>
      <c r="AH114" s="9">
        <v>35268695.5</v>
      </c>
      <c r="AI114" s="6">
        <v>1</v>
      </c>
      <c r="AJ114" s="71" t="str">
        <f>MID(D114,5,LEN(D114)-4)</f>
        <v>SATA1</v>
      </c>
    </row>
    <row r="115" spans="1:36" ht="118.95" customHeight="1" x14ac:dyDescent="0.3">
      <c r="A115" s="1">
        <f t="shared" si="3"/>
        <v>188</v>
      </c>
      <c r="B115" cm="1">
        <f t="array" ref="B115">IFERROR(MAX(--_xlfn.TEXTSPLIT(C115,";")),0)</f>
        <v>154</v>
      </c>
      <c r="C115" t="s">
        <v>1836</v>
      </c>
      <c r="D115" s="59" t="s">
        <v>128</v>
      </c>
      <c r="E115" s="59" t="s">
        <v>129</v>
      </c>
      <c r="F115" s="1">
        <v>1</v>
      </c>
      <c r="G115" s="1" t="s">
        <v>130</v>
      </c>
      <c r="H115" s="1" t="s">
        <v>131</v>
      </c>
      <c r="I115" s="1" t="s">
        <v>36</v>
      </c>
      <c r="J115" s="1" t="s">
        <v>92</v>
      </c>
      <c r="K115" s="1" t="s">
        <v>38</v>
      </c>
      <c r="L115" s="1" t="s">
        <v>66</v>
      </c>
      <c r="M115" s="2" t="s">
        <v>40</v>
      </c>
      <c r="N115" s="3">
        <v>3700000</v>
      </c>
      <c r="O115" s="3" t="s">
        <v>41</v>
      </c>
      <c r="P115" s="1" t="s">
        <v>132</v>
      </c>
      <c r="Q115" s="1" t="s">
        <v>133</v>
      </c>
      <c r="R115" s="3" t="s">
        <v>123</v>
      </c>
      <c r="S115" s="3" t="s">
        <v>134</v>
      </c>
      <c r="T115" s="2">
        <v>35180</v>
      </c>
      <c r="U115" s="2">
        <v>35342</v>
      </c>
      <c r="V115" s="2">
        <v>35363</v>
      </c>
      <c r="W115" s="2">
        <v>35418</v>
      </c>
      <c r="X115" s="2">
        <v>35473</v>
      </c>
      <c r="Y115" s="3" t="s">
        <v>135</v>
      </c>
      <c r="Z115" s="3" t="s">
        <v>136</v>
      </c>
      <c r="AA115" s="61" t="s">
        <v>137</v>
      </c>
      <c r="AB115" s="2">
        <v>35711</v>
      </c>
      <c r="AC115" s="2">
        <v>46395</v>
      </c>
      <c r="AD115" s="2" t="s">
        <v>49</v>
      </c>
      <c r="AE115" s="2" t="s">
        <v>50</v>
      </c>
      <c r="AF115" s="2">
        <v>36795</v>
      </c>
      <c r="AG115" s="2">
        <v>37232</v>
      </c>
      <c r="AH115" s="69">
        <v>5454253.2500000009</v>
      </c>
      <c r="AI115" s="17">
        <v>1</v>
      </c>
      <c r="AJ115" s="71" t="str">
        <f>MID(D115,5,LEN(D115)-4)</f>
        <v>SCLA1</v>
      </c>
    </row>
    <row r="116" spans="1:36" ht="132.6" customHeight="1" x14ac:dyDescent="0.3">
      <c r="A116" s="1">
        <f t="shared" si="3"/>
        <v>188</v>
      </c>
      <c r="B116" cm="1">
        <f t="array" ref="B116">IFERROR(MAX(--_xlfn.TEXTSPLIT(C116,";")),0)</f>
        <v>156</v>
      </c>
      <c r="C116" t="s">
        <v>1837</v>
      </c>
      <c r="D116" s="21" t="s">
        <v>270</v>
      </c>
      <c r="E116" s="21" t="s">
        <v>271</v>
      </c>
      <c r="F116" s="1">
        <v>1</v>
      </c>
      <c r="G116" s="1" t="s">
        <v>272</v>
      </c>
      <c r="H116" s="1" t="s">
        <v>273</v>
      </c>
      <c r="I116" s="1" t="s">
        <v>111</v>
      </c>
      <c r="J116" s="1" t="s">
        <v>112</v>
      </c>
      <c r="K116" s="1" t="s">
        <v>38</v>
      </c>
      <c r="L116" s="1" t="s">
        <v>39</v>
      </c>
      <c r="M116" s="2" t="s">
        <v>40</v>
      </c>
      <c r="N116" s="3">
        <v>15190000</v>
      </c>
      <c r="O116" s="3" t="s">
        <v>41</v>
      </c>
      <c r="P116" s="1" t="s">
        <v>274</v>
      </c>
      <c r="Q116" s="1" t="s">
        <v>133</v>
      </c>
      <c r="R116" s="3" t="s">
        <v>123</v>
      </c>
      <c r="S116" s="3" t="s">
        <v>275</v>
      </c>
      <c r="T116" s="2">
        <v>36481</v>
      </c>
      <c r="U116" s="2">
        <v>36738</v>
      </c>
      <c r="V116" s="2">
        <v>36759</v>
      </c>
      <c r="W116" s="2">
        <v>36783</v>
      </c>
      <c r="X116" s="2">
        <v>36895</v>
      </c>
      <c r="Y116" s="3" t="s">
        <v>276</v>
      </c>
      <c r="Z116" s="3" t="s">
        <v>277</v>
      </c>
      <c r="AA116" s="22" t="s">
        <v>278</v>
      </c>
      <c r="AB116" s="2">
        <v>37075</v>
      </c>
      <c r="AC116" s="2">
        <v>49187</v>
      </c>
      <c r="AD116" s="2" t="s">
        <v>106</v>
      </c>
      <c r="AE116" s="2" t="s">
        <v>50</v>
      </c>
      <c r="AF116" s="2">
        <v>38845</v>
      </c>
      <c r="AG116" s="2">
        <v>39183</v>
      </c>
      <c r="AH116" s="70">
        <v>31119620.699999999</v>
      </c>
      <c r="AI116" s="17">
        <v>1</v>
      </c>
      <c r="AJ116" s="71" t="str">
        <f>MID(D116,5,LEN(D116)-4)</f>
        <v>SNSS1</v>
      </c>
    </row>
    <row r="117" spans="1:36" ht="155.4" customHeight="1" x14ac:dyDescent="0.3">
      <c r="A117" s="1">
        <f t="shared" si="3"/>
        <v>188</v>
      </c>
      <c r="B117" cm="1">
        <f t="array" ref="B117">IFERROR(MAX(--_xlfn.TEXTSPLIT(C117,";")),0)</f>
        <v>158</v>
      </c>
      <c r="C117" t="s">
        <v>1838</v>
      </c>
      <c r="D117" s="1" t="s">
        <v>244</v>
      </c>
      <c r="E117" s="1" t="s">
        <v>1883</v>
      </c>
      <c r="F117" s="1">
        <v>1</v>
      </c>
      <c r="G117" s="1" t="s">
        <v>245</v>
      </c>
      <c r="H117" s="1" t="s">
        <v>246</v>
      </c>
      <c r="I117" s="1" t="s">
        <v>111</v>
      </c>
      <c r="J117" s="1" t="s">
        <v>112</v>
      </c>
      <c r="K117" s="1" t="s">
        <v>38</v>
      </c>
      <c r="L117" s="1" t="s">
        <v>39</v>
      </c>
      <c r="M117" s="2" t="s">
        <v>40</v>
      </c>
      <c r="N117" s="3">
        <v>9482776</v>
      </c>
      <c r="O117" s="3" t="s">
        <v>41</v>
      </c>
      <c r="P117" s="1" t="s">
        <v>247</v>
      </c>
      <c r="Q117" s="1" t="s">
        <v>133</v>
      </c>
      <c r="R117" s="3" t="s">
        <v>123</v>
      </c>
      <c r="S117" s="3" t="s">
        <v>248</v>
      </c>
      <c r="T117" s="2">
        <v>36343</v>
      </c>
      <c r="U117" s="2">
        <v>36480</v>
      </c>
      <c r="V117" s="2">
        <v>36500</v>
      </c>
      <c r="W117" s="2">
        <v>36580</v>
      </c>
      <c r="X117" s="2">
        <v>36635</v>
      </c>
      <c r="Y117" s="3" t="s">
        <v>249</v>
      </c>
      <c r="Z117" s="3" t="s">
        <v>250</v>
      </c>
      <c r="AA117" s="3" t="s">
        <v>251</v>
      </c>
      <c r="AB117" s="2">
        <v>37803</v>
      </c>
      <c r="AC117" s="2">
        <v>49856</v>
      </c>
      <c r="AD117" s="2" t="s">
        <v>106</v>
      </c>
      <c r="AE117" s="2" t="s">
        <v>50</v>
      </c>
      <c r="AF117" s="2">
        <v>39359</v>
      </c>
      <c r="AG117" s="2">
        <v>39607</v>
      </c>
      <c r="AH117" s="67">
        <v>30132097.319999997</v>
      </c>
      <c r="AI117" s="17">
        <v>1</v>
      </c>
      <c r="AJ117" s="71" t="str">
        <f>MID(D117,5,LEN(D117)-4)</f>
        <v>SOPN1</v>
      </c>
    </row>
    <row r="118" spans="1:36" ht="118.95" customHeight="1" x14ac:dyDescent="0.3">
      <c r="A118" s="1">
        <f t="shared" si="3"/>
        <v>188</v>
      </c>
      <c r="B118" cm="1">
        <f t="array" ref="B118">IFERROR(MAX(--_xlfn.TEXTSPLIT(C118,";")),0)</f>
        <v>159</v>
      </c>
      <c r="C118" t="s">
        <v>1839</v>
      </c>
      <c r="D118" s="1" t="s">
        <v>118</v>
      </c>
      <c r="E118" s="1" t="s">
        <v>1884</v>
      </c>
      <c r="F118" s="1">
        <v>1</v>
      </c>
      <c r="G118" s="1" t="s">
        <v>119</v>
      </c>
      <c r="H118" s="1" t="s">
        <v>120</v>
      </c>
      <c r="I118" s="1" t="s">
        <v>36</v>
      </c>
      <c r="J118" s="1" t="s">
        <v>121</v>
      </c>
      <c r="K118" s="1" t="s">
        <v>38</v>
      </c>
      <c r="L118" s="1" t="s">
        <v>39</v>
      </c>
      <c r="M118" s="2" t="s">
        <v>40</v>
      </c>
      <c r="N118" s="3">
        <v>4500000</v>
      </c>
      <c r="O118" s="3" t="s">
        <v>41</v>
      </c>
      <c r="P118" s="4" t="s">
        <v>122</v>
      </c>
      <c r="Q118" s="1" t="s">
        <v>43</v>
      </c>
      <c r="R118" s="3" t="s">
        <v>123</v>
      </c>
      <c r="S118" s="3" t="s">
        <v>124</v>
      </c>
      <c r="T118" s="2">
        <v>35004</v>
      </c>
      <c r="U118" s="2">
        <v>35044</v>
      </c>
      <c r="V118" s="2">
        <v>35060</v>
      </c>
      <c r="W118" s="2">
        <v>35076</v>
      </c>
      <c r="X118" s="2">
        <v>35137</v>
      </c>
      <c r="Y118" s="3" t="s">
        <v>125</v>
      </c>
      <c r="Z118" s="3" t="s">
        <v>126</v>
      </c>
      <c r="AA118" s="3" t="s">
        <v>127</v>
      </c>
      <c r="AB118" s="2">
        <v>35137</v>
      </c>
      <c r="AC118" s="2">
        <v>44286</v>
      </c>
      <c r="AD118" s="2" t="s">
        <v>106</v>
      </c>
      <c r="AE118" s="2" t="s">
        <v>50</v>
      </c>
      <c r="AF118" s="2">
        <v>36444</v>
      </c>
      <c r="AG118" s="2">
        <v>36640</v>
      </c>
      <c r="AH118" s="48">
        <v>8790422.5669340007</v>
      </c>
      <c r="AI118" s="17">
        <v>1</v>
      </c>
      <c r="AJ118" s="71" t="str">
        <f>MID(D118,5,LEN(D118)-4)</f>
        <v>TACH1</v>
      </c>
    </row>
    <row r="119" spans="1:36" ht="118.95" customHeight="1" x14ac:dyDescent="0.3">
      <c r="A119" s="1">
        <f t="shared" si="3"/>
        <v>188</v>
      </c>
      <c r="B119" cm="1">
        <f t="array" ref="B119">IFERROR(MAX(--_xlfn.TEXTSPLIT(C119,";")),0)</f>
        <v>159</v>
      </c>
      <c r="C119" t="s">
        <v>1839</v>
      </c>
      <c r="D119" s="1" t="s">
        <v>848</v>
      </c>
      <c r="E119" s="1" t="s">
        <v>1884</v>
      </c>
      <c r="F119" s="1">
        <v>2</v>
      </c>
      <c r="G119" s="1" t="s">
        <v>849</v>
      </c>
      <c r="H119" s="1" t="s">
        <v>850</v>
      </c>
      <c r="I119" s="1" t="s">
        <v>36</v>
      </c>
      <c r="J119" s="1" t="s">
        <v>121</v>
      </c>
      <c r="K119" s="1" t="s">
        <v>38</v>
      </c>
      <c r="L119" s="1" t="s">
        <v>39</v>
      </c>
      <c r="M119" s="2" t="s">
        <v>40</v>
      </c>
      <c r="N119" s="3">
        <v>19180000</v>
      </c>
      <c r="O119" s="3" t="s">
        <v>41</v>
      </c>
      <c r="P119" s="1" t="s">
        <v>851</v>
      </c>
      <c r="Q119" s="1" t="s">
        <v>662</v>
      </c>
      <c r="R119" s="3" t="s">
        <v>44</v>
      </c>
      <c r="S119" s="3" t="s">
        <v>152</v>
      </c>
      <c r="T119" s="2">
        <v>43757</v>
      </c>
      <c r="U119" s="2">
        <v>44134</v>
      </c>
      <c r="V119" s="2">
        <v>44162</v>
      </c>
      <c r="W119" s="2">
        <v>44203</v>
      </c>
      <c r="X119" s="2">
        <v>44268</v>
      </c>
      <c r="Y119" s="3" t="s">
        <v>852</v>
      </c>
      <c r="Z119" s="3" t="s">
        <v>853</v>
      </c>
      <c r="AA119" s="22" t="s">
        <v>854</v>
      </c>
      <c r="AB119" s="2">
        <v>44268</v>
      </c>
      <c r="AC119" s="2">
        <v>55956</v>
      </c>
      <c r="AD119" s="2" t="s">
        <v>106</v>
      </c>
      <c r="AE119" s="2" t="s">
        <v>855</v>
      </c>
      <c r="AF119" s="2" t="s">
        <v>697</v>
      </c>
      <c r="AG119" s="2" t="s">
        <v>697</v>
      </c>
      <c r="AH119" s="48">
        <v>19180000</v>
      </c>
      <c r="AI119" s="6">
        <v>0</v>
      </c>
      <c r="AJ119" s="71" t="str">
        <f>MID(D119,5,LEN(D119)-4)</f>
        <v>TACH2</v>
      </c>
    </row>
    <row r="120" spans="1:36" ht="118.95" customHeight="1" x14ac:dyDescent="0.3">
      <c r="A120" s="1">
        <f t="shared" si="3"/>
        <v>188</v>
      </c>
      <c r="B120" cm="1">
        <f t="array" ref="B120">IFERROR(MAX(--_xlfn.TEXTSPLIT(C120,";")),0)</f>
        <v>160</v>
      </c>
      <c r="C120" t="s">
        <v>1840</v>
      </c>
      <c r="D120" s="1" t="s">
        <v>778</v>
      </c>
      <c r="E120" s="1" t="s">
        <v>1885</v>
      </c>
      <c r="F120" s="1">
        <v>1</v>
      </c>
      <c r="G120" s="1" t="s">
        <v>779</v>
      </c>
      <c r="H120" s="1" t="s">
        <v>780</v>
      </c>
      <c r="I120" s="1" t="s">
        <v>385</v>
      </c>
      <c r="J120" s="1" t="s">
        <v>112</v>
      </c>
      <c r="K120" s="1" t="s">
        <v>38</v>
      </c>
      <c r="L120" s="1" t="s">
        <v>66</v>
      </c>
      <c r="M120" s="2">
        <v>40865</v>
      </c>
      <c r="N120" s="3">
        <v>1948603</v>
      </c>
      <c r="O120" s="3" t="s">
        <v>41</v>
      </c>
      <c r="P120" s="1" t="s">
        <v>781</v>
      </c>
      <c r="Q120" s="1" t="s">
        <v>693</v>
      </c>
      <c r="R120" s="3" t="s">
        <v>44</v>
      </c>
      <c r="S120" s="3" t="s">
        <v>152</v>
      </c>
      <c r="T120" s="2">
        <v>42927</v>
      </c>
      <c r="U120" s="2">
        <v>43084</v>
      </c>
      <c r="V120" s="2">
        <v>43112</v>
      </c>
      <c r="W120" s="2">
        <v>43186</v>
      </c>
      <c r="X120" s="2">
        <v>43239</v>
      </c>
      <c r="Y120" s="3" t="s">
        <v>782</v>
      </c>
      <c r="Z120" s="3" t="s">
        <v>783</v>
      </c>
      <c r="AA120" s="3" t="s">
        <v>784</v>
      </c>
      <c r="AB120" s="2">
        <v>43239</v>
      </c>
      <c r="AC120" s="2">
        <v>56593</v>
      </c>
      <c r="AD120" s="2" t="s">
        <v>106</v>
      </c>
      <c r="AE120" s="2">
        <v>45280</v>
      </c>
      <c r="AF120" s="2" t="s">
        <v>697</v>
      </c>
      <c r="AG120" s="2" t="s">
        <v>697</v>
      </c>
      <c r="AH120" s="48">
        <v>1948603</v>
      </c>
      <c r="AI120" s="13">
        <v>0.57709999999999995</v>
      </c>
      <c r="AJ120" s="71" t="str">
        <f>MID(D120,5,LEN(D120)-4)</f>
        <v>TELB1</v>
      </c>
    </row>
    <row r="121" spans="1:36" ht="118.95" customHeight="1" x14ac:dyDescent="0.3">
      <c r="A121" s="1">
        <f t="shared" si="3"/>
        <v>188</v>
      </c>
      <c r="B121" cm="1">
        <f t="array" ref="B121">IFERROR(MAX(--_xlfn.TEXTSPLIT(C121,";")),0)</f>
        <v>161</v>
      </c>
      <c r="C121" t="s">
        <v>1841</v>
      </c>
      <c r="D121" s="1" t="s">
        <v>32</v>
      </c>
      <c r="E121" s="59" t="s">
        <v>33</v>
      </c>
      <c r="F121" s="1">
        <v>1</v>
      </c>
      <c r="G121" s="59" t="s">
        <v>34</v>
      </c>
      <c r="H121" s="1" t="s">
        <v>35</v>
      </c>
      <c r="I121" s="1" t="s">
        <v>36</v>
      </c>
      <c r="J121" s="1" t="s">
        <v>37</v>
      </c>
      <c r="K121" s="1" t="s">
        <v>38</v>
      </c>
      <c r="L121" s="1" t="s">
        <v>39</v>
      </c>
      <c r="M121" s="2" t="s">
        <v>40</v>
      </c>
      <c r="N121" s="3">
        <v>587208.35782083974</v>
      </c>
      <c r="O121" s="3" t="s">
        <v>41</v>
      </c>
      <c r="P121" s="4" t="s">
        <v>42</v>
      </c>
      <c r="Q121" s="1" t="s">
        <v>43</v>
      </c>
      <c r="R121" s="3" t="s">
        <v>44</v>
      </c>
      <c r="S121" s="3" t="s">
        <v>45</v>
      </c>
      <c r="T121" s="2">
        <v>33909</v>
      </c>
      <c r="U121" s="2">
        <v>33967</v>
      </c>
      <c r="V121" s="2">
        <v>34012</v>
      </c>
      <c r="W121" s="2">
        <v>34067</v>
      </c>
      <c r="X121" s="2">
        <v>34142</v>
      </c>
      <c r="Y121" s="3" t="s">
        <v>46</v>
      </c>
      <c r="Z121" s="3" t="s">
        <v>47</v>
      </c>
      <c r="AA121" s="3" t="s">
        <v>48</v>
      </c>
      <c r="AB121" s="2">
        <v>34225</v>
      </c>
      <c r="AC121" s="2">
        <v>42550</v>
      </c>
      <c r="AD121" s="2" t="s">
        <v>49</v>
      </c>
      <c r="AE121" s="2" t="s">
        <v>50</v>
      </c>
      <c r="AF121" s="2">
        <v>34955</v>
      </c>
      <c r="AG121" s="2">
        <v>35248</v>
      </c>
      <c r="AH121" s="48">
        <v>1602634.08</v>
      </c>
      <c r="AI121" s="6">
        <v>1</v>
      </c>
      <c r="AJ121" s="71" t="str">
        <f>MID(D121,5,LEN(D121)-4)</f>
        <v>TEME1</v>
      </c>
    </row>
    <row r="122" spans="1:36" ht="118.95" customHeight="1" x14ac:dyDescent="0.3">
      <c r="A122" s="1">
        <f t="shared" si="3"/>
        <v>188</v>
      </c>
      <c r="B122" cm="1">
        <f t="array" ref="B122">IFERROR(MAX(--_xlfn.TEXTSPLIT(C122,";")),0)</f>
        <v>161</v>
      </c>
      <c r="C122" t="s">
        <v>1841</v>
      </c>
      <c r="D122" s="21" t="s">
        <v>722</v>
      </c>
      <c r="E122" s="59" t="s">
        <v>33</v>
      </c>
      <c r="F122" s="1">
        <v>2</v>
      </c>
      <c r="G122" s="21" t="s">
        <v>723</v>
      </c>
      <c r="H122" s="1" t="s">
        <v>724</v>
      </c>
      <c r="I122" s="1" t="s">
        <v>36</v>
      </c>
      <c r="J122" s="1" t="s">
        <v>37</v>
      </c>
      <c r="K122" s="1" t="s">
        <v>38</v>
      </c>
      <c r="L122" s="1" t="s">
        <v>39</v>
      </c>
      <c r="M122" s="2" t="s">
        <v>40</v>
      </c>
      <c r="N122" s="3">
        <v>3026000</v>
      </c>
      <c r="O122" s="3" t="s">
        <v>41</v>
      </c>
      <c r="P122" s="1" t="s">
        <v>725</v>
      </c>
      <c r="Q122" s="1" t="s">
        <v>43</v>
      </c>
      <c r="R122" s="3" t="s">
        <v>44</v>
      </c>
      <c r="S122" s="3" t="s">
        <v>152</v>
      </c>
      <c r="T122" s="2">
        <v>42291</v>
      </c>
      <c r="U122" s="2">
        <v>42417</v>
      </c>
      <c r="V122" s="2">
        <v>42436</v>
      </c>
      <c r="W122" s="2">
        <v>42464</v>
      </c>
      <c r="X122" s="2">
        <v>42528</v>
      </c>
      <c r="Y122" s="3" t="s">
        <v>726</v>
      </c>
      <c r="Z122" s="3" t="s">
        <v>727</v>
      </c>
      <c r="AA122" s="3" t="s">
        <v>728</v>
      </c>
      <c r="AB122" s="2">
        <v>42528</v>
      </c>
      <c r="AC122" s="2">
        <v>45838</v>
      </c>
      <c r="AD122" s="2" t="s">
        <v>106</v>
      </c>
      <c r="AE122" s="2">
        <v>43385</v>
      </c>
      <c r="AF122" s="2">
        <v>44855</v>
      </c>
      <c r="AG122" s="2">
        <v>45138</v>
      </c>
      <c r="AH122" s="48">
        <v>2592310.0499999998</v>
      </c>
      <c r="AI122" s="17">
        <v>1</v>
      </c>
      <c r="AJ122" s="71" t="str">
        <f>MID(D122,5,LEN(D122)-4)</f>
        <v>TEME2</v>
      </c>
    </row>
    <row r="123" spans="1:36" ht="118.95" customHeight="1" x14ac:dyDescent="0.3">
      <c r="A123" s="1">
        <f t="shared" si="3"/>
        <v>188</v>
      </c>
      <c r="B123" cm="1">
        <f t="array" ref="B123">IFERROR(MAX(--_xlfn.TEXTSPLIT(C123,";")),0)</f>
        <v>162</v>
      </c>
      <c r="C123" t="s">
        <v>1842</v>
      </c>
      <c r="D123" s="21" t="s">
        <v>164</v>
      </c>
      <c r="E123" s="21" t="s">
        <v>1886</v>
      </c>
      <c r="F123" s="1">
        <v>1</v>
      </c>
      <c r="G123" s="21" t="s">
        <v>165</v>
      </c>
      <c r="H123" s="1" t="s">
        <v>166</v>
      </c>
      <c r="I123" s="1" t="s">
        <v>36</v>
      </c>
      <c r="J123" s="1" t="s">
        <v>167</v>
      </c>
      <c r="K123" s="1" t="s">
        <v>38</v>
      </c>
      <c r="L123" s="1" t="s">
        <v>39</v>
      </c>
      <c r="M123" s="2" t="s">
        <v>40</v>
      </c>
      <c r="N123" s="3">
        <v>6105000</v>
      </c>
      <c r="O123" s="3" t="s">
        <v>41</v>
      </c>
      <c r="P123" s="1" t="s">
        <v>168</v>
      </c>
      <c r="Q123" s="1" t="s">
        <v>43</v>
      </c>
      <c r="R123" s="3" t="s">
        <v>123</v>
      </c>
      <c r="S123" s="3" t="s">
        <v>85</v>
      </c>
      <c r="T123" s="2">
        <v>35370</v>
      </c>
      <c r="U123" s="2">
        <v>35548</v>
      </c>
      <c r="V123" s="2">
        <v>35562</v>
      </c>
      <c r="W123" s="2">
        <v>35656</v>
      </c>
      <c r="X123" s="2">
        <v>35731</v>
      </c>
      <c r="Y123" s="3" t="s">
        <v>169</v>
      </c>
      <c r="Z123" s="3" t="s">
        <v>170</v>
      </c>
      <c r="AA123" s="3" t="s">
        <v>171</v>
      </c>
      <c r="AB123" s="2">
        <v>35976</v>
      </c>
      <c r="AC123" s="2">
        <v>46111</v>
      </c>
      <c r="AD123" s="2" t="s">
        <v>49</v>
      </c>
      <c r="AE123" s="2" t="s">
        <v>50</v>
      </c>
      <c r="AF123" s="2">
        <v>37148</v>
      </c>
      <c r="AG123" s="2">
        <v>37834</v>
      </c>
      <c r="AH123" s="70">
        <v>9358918.5</v>
      </c>
      <c r="AI123" s="17">
        <v>1</v>
      </c>
      <c r="AJ123" s="71" t="str">
        <f>MID(D123,5,LEN(D123)-4)</f>
        <v>TERB1</v>
      </c>
    </row>
    <row r="124" spans="1:36" ht="118.95" customHeight="1" x14ac:dyDescent="0.3">
      <c r="A124" s="1">
        <f t="shared" si="3"/>
        <v>188</v>
      </c>
      <c r="B124" cm="1">
        <f t="array" ref="B124">IFERROR(MAX(--_xlfn.TEXTSPLIT(C124,";")),0)</f>
        <v>162</v>
      </c>
      <c r="C124" t="s">
        <v>1842</v>
      </c>
      <c r="D124" s="29" t="s">
        <v>1017</v>
      </c>
      <c r="E124" s="21" t="s">
        <v>1886</v>
      </c>
      <c r="F124" s="1">
        <v>2</v>
      </c>
      <c r="G124" s="29" t="s">
        <v>1887</v>
      </c>
      <c r="H124" s="1" t="s">
        <v>1019</v>
      </c>
      <c r="I124" s="1" t="s">
        <v>36</v>
      </c>
      <c r="J124" s="1" t="s">
        <v>1020</v>
      </c>
      <c r="K124" s="1" t="s">
        <v>38</v>
      </c>
      <c r="L124" s="1" t="s">
        <v>39</v>
      </c>
      <c r="M124" s="2"/>
      <c r="N124" s="3">
        <v>19330000</v>
      </c>
      <c r="O124" s="1" t="s">
        <v>41</v>
      </c>
      <c r="P124" s="1" t="s">
        <v>1021</v>
      </c>
      <c r="Q124" s="1" t="s">
        <v>662</v>
      </c>
      <c r="R124" s="1" t="s">
        <v>44</v>
      </c>
      <c r="S124" s="1" t="s">
        <v>1022</v>
      </c>
      <c r="T124" s="2">
        <v>45288</v>
      </c>
      <c r="U124" s="2">
        <v>45681</v>
      </c>
      <c r="V124" s="2">
        <v>45723</v>
      </c>
      <c r="W124" s="2">
        <v>45831</v>
      </c>
      <c r="X124" s="2">
        <v>45937</v>
      </c>
      <c r="Y124" s="1" t="s">
        <v>1023</v>
      </c>
      <c r="Z124" s="1" t="s">
        <v>1024</v>
      </c>
      <c r="AA124" s="1" t="s">
        <v>1025</v>
      </c>
      <c r="AB124" s="2">
        <v>45937</v>
      </c>
      <c r="AC124" s="2">
        <v>60912</v>
      </c>
      <c r="AD124" s="1" t="s">
        <v>106</v>
      </c>
      <c r="AE124" s="1" t="s">
        <v>855</v>
      </c>
      <c r="AF124" s="1" t="s">
        <v>697</v>
      </c>
      <c r="AG124" s="1" t="s">
        <v>697</v>
      </c>
      <c r="AH124" s="61">
        <v>19330000</v>
      </c>
      <c r="AI124" s="27">
        <v>0</v>
      </c>
      <c r="AJ124" s="71" t="str">
        <f>MID(D124,5,LEN(D124)-4)</f>
        <v>TERB2</v>
      </c>
    </row>
    <row r="125" spans="1:36" ht="201.6" x14ac:dyDescent="0.3">
      <c r="A125" s="1">
        <f t="shared" si="3"/>
        <v>188</v>
      </c>
      <c r="B125" cm="1">
        <f t="array" ref="B125">IFERROR(MAX(--_xlfn.TEXTSPLIT(C125,";")),0)</f>
        <v>163</v>
      </c>
      <c r="C125" t="s">
        <v>1843</v>
      </c>
      <c r="D125" s="11" t="s">
        <v>622</v>
      </c>
      <c r="E125" s="63" t="s">
        <v>1888</v>
      </c>
      <c r="F125" s="1">
        <v>1</v>
      </c>
      <c r="G125" s="1" t="s">
        <v>623</v>
      </c>
      <c r="H125" s="1" t="s">
        <v>624</v>
      </c>
      <c r="I125" s="1" t="s">
        <v>36</v>
      </c>
      <c r="J125" s="1" t="s">
        <v>625</v>
      </c>
      <c r="K125" s="1" t="s">
        <v>38</v>
      </c>
      <c r="L125" s="1" t="s">
        <v>39</v>
      </c>
      <c r="M125" s="2" t="s">
        <v>40</v>
      </c>
      <c r="N125" s="3">
        <v>7900000</v>
      </c>
      <c r="O125" s="3" t="s">
        <v>41</v>
      </c>
      <c r="P125" s="1" t="s">
        <v>626</v>
      </c>
      <c r="Q125" s="1" t="s">
        <v>133</v>
      </c>
      <c r="R125" s="3" t="s">
        <v>123</v>
      </c>
      <c r="S125" s="3" t="s">
        <v>484</v>
      </c>
      <c r="T125" s="2">
        <v>40865</v>
      </c>
      <c r="U125" s="2">
        <v>40890</v>
      </c>
      <c r="V125" s="2">
        <v>40897</v>
      </c>
      <c r="W125" s="2">
        <v>40934</v>
      </c>
      <c r="X125" s="2">
        <v>41002</v>
      </c>
      <c r="Y125" s="3" t="s">
        <v>627</v>
      </c>
      <c r="Z125" s="3" t="s">
        <v>628</v>
      </c>
      <c r="AA125" s="3" t="s">
        <v>629</v>
      </c>
      <c r="AB125" s="2">
        <v>41002</v>
      </c>
      <c r="AC125" s="2">
        <v>53784</v>
      </c>
      <c r="AD125" s="2" t="s">
        <v>106</v>
      </c>
      <c r="AE125" s="2" t="s">
        <v>50</v>
      </c>
      <c r="AF125" s="2">
        <v>42499</v>
      </c>
      <c r="AG125" s="2">
        <v>42795</v>
      </c>
      <c r="AH125" s="67">
        <v>8977038.0899999999</v>
      </c>
      <c r="AI125" s="17">
        <v>1</v>
      </c>
      <c r="AJ125" s="71" t="str">
        <f>MID(D125,5,LEN(D125)-4)</f>
        <v>VALS1</v>
      </c>
    </row>
    <row r="126" spans="1:36" ht="187.2" x14ac:dyDescent="0.3">
      <c r="A126" s="1">
        <f t="shared" si="3"/>
        <v>188</v>
      </c>
      <c r="B126" cm="1">
        <f t="array" ref="B126">IFERROR(MAX(--_xlfn.TEXTSPLIT(C126,";")),0)</f>
        <v>164</v>
      </c>
      <c r="C126" t="s">
        <v>1844</v>
      </c>
      <c r="D126" s="1" t="s">
        <v>296</v>
      </c>
      <c r="E126" s="63" t="s">
        <v>297</v>
      </c>
      <c r="F126" s="1">
        <v>1</v>
      </c>
      <c r="G126" s="1" t="s">
        <v>298</v>
      </c>
      <c r="H126" s="1" t="s">
        <v>299</v>
      </c>
      <c r="I126" s="1" t="s">
        <v>36</v>
      </c>
      <c r="J126" s="1" t="s">
        <v>112</v>
      </c>
      <c r="K126" s="1" t="s">
        <v>38</v>
      </c>
      <c r="L126" s="1" t="s">
        <v>66</v>
      </c>
      <c r="M126" s="2" t="s">
        <v>40</v>
      </c>
      <c r="N126" s="3">
        <v>669100</v>
      </c>
      <c r="O126" s="3" t="s">
        <v>41</v>
      </c>
      <c r="P126" s="1" t="s">
        <v>300</v>
      </c>
      <c r="Q126" s="1" t="s">
        <v>133</v>
      </c>
      <c r="R126" s="3" t="s">
        <v>44</v>
      </c>
      <c r="S126" s="3" t="s">
        <v>301</v>
      </c>
      <c r="T126" s="2">
        <v>36874</v>
      </c>
      <c r="U126" s="2">
        <v>37046</v>
      </c>
      <c r="V126" s="2">
        <v>37068</v>
      </c>
      <c r="W126" s="2">
        <v>37120</v>
      </c>
      <c r="X126" s="2">
        <v>37193</v>
      </c>
      <c r="Y126" s="3" t="s">
        <v>302</v>
      </c>
      <c r="Z126" s="3" t="s">
        <v>303</v>
      </c>
      <c r="AA126" s="3" t="s">
        <v>304</v>
      </c>
      <c r="AB126" s="2">
        <v>37740</v>
      </c>
      <c r="AC126" s="2">
        <v>48697</v>
      </c>
      <c r="AD126" s="2" t="s">
        <v>49</v>
      </c>
      <c r="AE126" s="2" t="s">
        <v>50</v>
      </c>
      <c r="AF126" s="2">
        <v>38104</v>
      </c>
      <c r="AG126" s="2">
        <v>38709</v>
      </c>
      <c r="AH126" s="67">
        <v>907495.36</v>
      </c>
      <c r="AI126" s="17">
        <v>1</v>
      </c>
      <c r="AJ126" s="71" t="str">
        <f>MID(D126,5,LEN(D126)-4)</f>
        <v>VAME1</v>
      </c>
    </row>
    <row r="127" spans="1:36" ht="125.4" customHeight="1" x14ac:dyDescent="0.3">
      <c r="A127" s="1">
        <f t="shared" si="3"/>
        <v>188</v>
      </c>
      <c r="B127" cm="1">
        <f t="array" ref="B127">IFERROR(MAX(--_xlfn.TEXTSPLIT(C127,";")),0)</f>
        <v>168</v>
      </c>
      <c r="C127" t="s">
        <v>1845</v>
      </c>
      <c r="D127" s="11" t="s">
        <v>508</v>
      </c>
      <c r="E127" s="63" t="s">
        <v>1889</v>
      </c>
      <c r="F127" s="1">
        <v>1</v>
      </c>
      <c r="G127" s="1" t="s">
        <v>509</v>
      </c>
      <c r="H127" s="1" t="s">
        <v>510</v>
      </c>
      <c r="I127" s="1" t="s">
        <v>36</v>
      </c>
      <c r="J127" s="1" t="s">
        <v>344</v>
      </c>
      <c r="K127" s="1" t="s">
        <v>38</v>
      </c>
      <c r="L127" s="1" t="s">
        <v>39</v>
      </c>
      <c r="M127" s="2" t="s">
        <v>40</v>
      </c>
      <c r="N127" s="3">
        <v>7230000</v>
      </c>
      <c r="O127" s="3" t="s">
        <v>41</v>
      </c>
      <c r="P127" s="1" t="s">
        <v>511</v>
      </c>
      <c r="Q127" s="1" t="s">
        <v>133</v>
      </c>
      <c r="R127" s="3" t="s">
        <v>44</v>
      </c>
      <c r="S127" s="3" t="s">
        <v>512</v>
      </c>
      <c r="T127" s="2">
        <v>39445</v>
      </c>
      <c r="U127" s="2">
        <v>39707</v>
      </c>
      <c r="V127" s="2">
        <v>39738</v>
      </c>
      <c r="W127" s="2">
        <v>39821</v>
      </c>
      <c r="X127" s="2">
        <v>39876</v>
      </c>
      <c r="Y127" s="3" t="s">
        <v>513</v>
      </c>
      <c r="Z127" s="3" t="s">
        <v>514</v>
      </c>
      <c r="AA127" s="3" t="s">
        <v>515</v>
      </c>
      <c r="AB127" s="2">
        <v>39876</v>
      </c>
      <c r="AC127" s="2">
        <v>52659</v>
      </c>
      <c r="AD127" s="2" t="s">
        <v>106</v>
      </c>
      <c r="AE127" s="2">
        <v>40552</v>
      </c>
      <c r="AF127" s="2">
        <v>40850</v>
      </c>
      <c r="AG127" s="2">
        <v>41033</v>
      </c>
      <c r="AH127" s="67">
        <v>6465494.1300000008</v>
      </c>
      <c r="AI127" s="17">
        <v>1</v>
      </c>
      <c r="AJ127" s="71" t="str">
        <f>MID(D127,5,LEN(D127)-4)</f>
        <v>VCAL1</v>
      </c>
    </row>
    <row r="128" spans="1:36" ht="259.2" x14ac:dyDescent="0.3">
      <c r="A128" s="1">
        <f t="shared" si="3"/>
        <v>188</v>
      </c>
      <c r="B128" cm="1">
        <f t="array" ref="B128">IFERROR(MAX(--_xlfn.TEXTSPLIT(C128,";")),0)</f>
        <v>174</v>
      </c>
      <c r="C128" t="s">
        <v>1846</v>
      </c>
      <c r="D128" s="1" t="s">
        <v>447</v>
      </c>
      <c r="E128" s="63" t="s">
        <v>448</v>
      </c>
      <c r="F128" s="1">
        <v>1</v>
      </c>
      <c r="G128" s="63" t="s">
        <v>449</v>
      </c>
      <c r="H128" s="1" t="s">
        <v>450</v>
      </c>
      <c r="I128" s="1" t="s">
        <v>111</v>
      </c>
      <c r="J128" s="1" t="s">
        <v>112</v>
      </c>
      <c r="K128" s="1" t="s">
        <v>38</v>
      </c>
      <c r="L128" s="1" t="s">
        <v>66</v>
      </c>
      <c r="M128" s="2">
        <v>36119</v>
      </c>
      <c r="N128" s="3">
        <v>2500000</v>
      </c>
      <c r="O128" s="3" t="s">
        <v>41</v>
      </c>
      <c r="P128" s="1" t="s">
        <v>451</v>
      </c>
      <c r="Q128" s="1" t="s">
        <v>133</v>
      </c>
      <c r="R128" s="3" t="s">
        <v>44</v>
      </c>
      <c r="S128" s="3" t="s">
        <v>452</v>
      </c>
      <c r="T128" s="2">
        <v>38091</v>
      </c>
      <c r="U128" s="2">
        <v>38217</v>
      </c>
      <c r="V128" s="2">
        <v>38239</v>
      </c>
      <c r="W128" s="2">
        <v>38317</v>
      </c>
      <c r="X128" s="2">
        <v>38404</v>
      </c>
      <c r="Y128" s="3" t="s">
        <v>453</v>
      </c>
      <c r="Z128" s="3" t="s">
        <v>454</v>
      </c>
      <c r="AA128" s="3" t="s">
        <v>446</v>
      </c>
      <c r="AB128" s="2">
        <v>38404</v>
      </c>
      <c r="AC128" s="2">
        <v>50272</v>
      </c>
      <c r="AD128" s="2" t="s">
        <v>106</v>
      </c>
      <c r="AE128" s="2" t="s">
        <v>50</v>
      </c>
      <c r="AF128" s="2">
        <v>39632</v>
      </c>
      <c r="AG128" s="2">
        <v>39967</v>
      </c>
      <c r="AH128" s="67">
        <v>4102180.9400000004</v>
      </c>
      <c r="AI128" s="17">
        <v>1</v>
      </c>
      <c r="AJ128" s="71" t="str">
        <f>MID(D128,5,LEN(D128)-4)</f>
        <v>VVSK1</v>
      </c>
    </row>
  </sheetData>
  <autoFilter ref="AJ1:AJ128" xr:uid="{80840258-79EC-4B6B-9344-9FB50696C2EB}">
    <sortState xmlns:xlrd2="http://schemas.microsoft.com/office/spreadsheetml/2017/richdata2" ref="AJ2:AJ128">
      <sortCondition ref="AJ1:AJ128"/>
    </sortState>
  </autoFilter>
  <hyperlinks>
    <hyperlink ref="AA89" r:id="rId1" xr:uid="{3A35BB87-9951-4ED5-AA29-091A491DDB47}"/>
    <hyperlink ref="AA30" r:id="rId2" xr:uid="{A7AC609C-93C4-4D0F-A98C-DAEAD72B9010}"/>
    <hyperlink ref="AA22" r:id="rId3" xr:uid="{05C15554-DCDF-431F-AD25-1C380DC7CEC4}"/>
    <hyperlink ref="AA43" r:id="rId4" xr:uid="{87BC28C3-53E7-47EA-B968-2A58A8F67912}"/>
    <hyperlink ref="P121" r:id="rId5" xr:uid="{B49BBFD3-FB03-4C12-AC55-9D1C4895F494}"/>
    <hyperlink ref="P51" r:id="rId6" xr:uid="{1138822B-B318-43D2-A038-0D1CD40CE0B7}"/>
    <hyperlink ref="P30" r:id="rId7" xr:uid="{2E77FBF3-3CB1-478B-B257-31FCF663D5B8}"/>
    <hyperlink ref="P44" r:id="rId8" xr:uid="{0F4295B4-8EDE-4758-9A55-F4853FF8222E}"/>
    <hyperlink ref="P17" r:id="rId9" xr:uid="{46211A6B-BFAD-42AC-B417-8C1607D4535F}"/>
    <hyperlink ref="P112" r:id="rId10" xr:uid="{2894B2BC-A82D-4794-8EC7-8A7B8E485FB4}"/>
    <hyperlink ref="P54" r:id="rId11" xr:uid="{2E95F99E-734D-4C76-92AB-BB6F176ECC2F}"/>
    <hyperlink ref="P40" r:id="rId12" xr:uid="{8E328797-2212-4653-8818-403B07F4C7E7}"/>
    <hyperlink ref="P7" r:id="rId13" xr:uid="{C9A6B126-DDA8-453E-B080-E457A615240F}"/>
    <hyperlink ref="P118" r:id="rId14" xr:uid="{586AA5B2-42E2-484A-8B74-344C94797228}"/>
    <hyperlink ref="P49" r:id="rId15" xr:uid="{4F19ED2C-C6A4-4902-B9F6-A35679B73E9D}"/>
    <hyperlink ref="P58" r:id="rId16" xr:uid="{442FD632-40EB-430C-826C-3AE86A4B3DAC}"/>
    <hyperlink ref="AA24" r:id="rId17" xr:uid="{195EDB41-08E6-4AFD-B121-E5FACB6C4643}"/>
    <hyperlink ref="AA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AEB3E-9B0B-46C0-A51A-397ED4B2A125}">
  <dimension ref="A1:E2"/>
  <sheetViews>
    <sheetView workbookViewId="0">
      <selection activeCell="A2" sqref="A2:E2"/>
    </sheetView>
  </sheetViews>
  <sheetFormatPr baseColWidth="10" defaultRowHeight="14.4" x14ac:dyDescent="0.3"/>
  <cols>
    <col min="1" max="1" width="16.33203125" customWidth="1"/>
    <col min="2" max="2" width="65.6640625" bestFit="1" customWidth="1"/>
    <col min="3" max="3" width="15.88671875" customWidth="1"/>
    <col min="4" max="4" width="16.88671875" customWidth="1"/>
    <col min="5" max="5" width="12.44140625" customWidth="1"/>
  </cols>
  <sheetData>
    <row r="1" spans="1:5" x14ac:dyDescent="0.3">
      <c r="A1" t="s">
        <v>0</v>
      </c>
      <c r="B1" t="s">
        <v>3</v>
      </c>
      <c r="C1" t="s">
        <v>1037</v>
      </c>
      <c r="D1" t="s">
        <v>1038</v>
      </c>
      <c r="E1" t="s">
        <v>1039</v>
      </c>
    </row>
    <row r="2" spans="1:5" x14ac:dyDescent="0.3">
      <c r="A2" t="s">
        <v>230</v>
      </c>
      <c r="B2" t="s">
        <v>231</v>
      </c>
      <c r="C2" t="s">
        <v>1186</v>
      </c>
      <c r="D2" t="s">
        <v>1187</v>
      </c>
      <c r="E2" t="s">
        <v>1042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27213-CBDF-4546-AB50-6C5C843A4721}">
  <dimension ref="A3:B284"/>
  <sheetViews>
    <sheetView topLeftCell="A3" zoomScale="80" zoomScaleNormal="80" workbookViewId="0">
      <selection activeCell="B14" sqref="B14"/>
    </sheetView>
  </sheetViews>
  <sheetFormatPr baseColWidth="10" defaultRowHeight="14.4" x14ac:dyDescent="0.3"/>
  <cols>
    <col min="1" max="1" width="196.33203125" bestFit="1" customWidth="1"/>
    <col min="2" max="2" width="26" bestFit="1" customWidth="1"/>
    <col min="3" max="3" width="19.33203125" bestFit="1" customWidth="1"/>
    <col min="4" max="4" width="22" bestFit="1" customWidth="1"/>
    <col min="5" max="5" width="31.44140625" bestFit="1" customWidth="1"/>
    <col min="6" max="6" width="29.88671875" bestFit="1" customWidth="1"/>
    <col min="7" max="7" width="35.33203125" bestFit="1" customWidth="1"/>
    <col min="8" max="8" width="26.33203125" bestFit="1" customWidth="1"/>
    <col min="9" max="9" width="24.5546875" bestFit="1" customWidth="1"/>
    <col min="10" max="10" width="11.6640625" bestFit="1" customWidth="1"/>
    <col min="11" max="11" width="21.33203125" bestFit="1" customWidth="1"/>
    <col min="12" max="12" width="62.33203125" bestFit="1" customWidth="1"/>
    <col min="13" max="13" width="10.44140625" bestFit="1" customWidth="1"/>
    <col min="14" max="14" width="57.6640625" bestFit="1" customWidth="1"/>
    <col min="15" max="15" width="60.33203125" bestFit="1" customWidth="1"/>
    <col min="16" max="16" width="69.109375" bestFit="1" customWidth="1"/>
    <col min="17" max="17" width="19.33203125" bestFit="1" customWidth="1"/>
    <col min="18" max="18" width="9.33203125" bestFit="1" customWidth="1"/>
    <col min="19" max="19" width="36.33203125" bestFit="1" customWidth="1"/>
    <col min="20" max="20" width="53.6640625" bestFit="1" customWidth="1"/>
    <col min="21" max="21" width="24.6640625" bestFit="1" customWidth="1"/>
    <col min="22" max="22" width="17.88671875" bestFit="1" customWidth="1"/>
    <col min="23" max="23" width="22.6640625" bestFit="1" customWidth="1"/>
    <col min="24" max="24" width="39.33203125" bestFit="1" customWidth="1"/>
    <col min="25" max="25" width="30.33203125" bestFit="1" customWidth="1"/>
    <col min="26" max="26" width="20.33203125" bestFit="1" customWidth="1"/>
    <col min="27" max="27" width="20.5546875" bestFit="1" customWidth="1"/>
    <col min="28" max="28" width="19.5546875" bestFit="1" customWidth="1"/>
    <col min="29" max="29" width="25.5546875" bestFit="1" customWidth="1"/>
    <col min="30" max="30" width="21" bestFit="1" customWidth="1"/>
    <col min="31" max="31" width="19.6640625" bestFit="1" customWidth="1"/>
    <col min="32" max="32" width="11.6640625" bestFit="1" customWidth="1"/>
    <col min="33" max="33" width="25.6640625" bestFit="1" customWidth="1"/>
    <col min="34" max="34" width="10.44140625" bestFit="1" customWidth="1"/>
    <col min="35" max="35" width="16.33203125" bestFit="1" customWidth="1"/>
    <col min="36" max="36" width="14.33203125" bestFit="1" customWidth="1"/>
    <col min="37" max="37" width="21.33203125" bestFit="1" customWidth="1"/>
    <col min="38" max="38" width="46.33203125" bestFit="1" customWidth="1"/>
    <col min="39" max="39" width="10.109375" bestFit="1" customWidth="1"/>
    <col min="40" max="41" width="43.88671875" bestFit="1" customWidth="1"/>
    <col min="42" max="42" width="31.6640625" bestFit="1" customWidth="1"/>
    <col min="43" max="43" width="34.6640625" bestFit="1" customWidth="1"/>
    <col min="44" max="44" width="35.44140625" bestFit="1" customWidth="1"/>
    <col min="45" max="45" width="53.6640625" bestFit="1" customWidth="1"/>
    <col min="46" max="46" width="55.5546875" bestFit="1" customWidth="1"/>
    <col min="47" max="47" width="21.5546875" bestFit="1" customWidth="1"/>
    <col min="48" max="48" width="21.44140625" bestFit="1" customWidth="1"/>
    <col min="49" max="49" width="29.109375" bestFit="1" customWidth="1"/>
    <col min="50" max="50" width="30.5546875" bestFit="1" customWidth="1"/>
    <col min="51" max="51" width="16.5546875" bestFit="1" customWidth="1"/>
    <col min="52" max="52" width="25.5546875" bestFit="1" customWidth="1"/>
    <col min="53" max="53" width="27.88671875" bestFit="1" customWidth="1"/>
    <col min="54" max="54" width="24" bestFit="1" customWidth="1"/>
    <col min="55" max="55" width="21.5546875" bestFit="1" customWidth="1"/>
    <col min="56" max="56" width="24.44140625" bestFit="1" customWidth="1"/>
    <col min="57" max="57" width="26.109375" bestFit="1" customWidth="1"/>
    <col min="58" max="58" width="18.88671875" bestFit="1" customWidth="1"/>
    <col min="59" max="59" width="24.33203125" bestFit="1" customWidth="1"/>
    <col min="60" max="60" width="25.109375" bestFit="1" customWidth="1"/>
    <col min="61" max="61" width="55.44140625" bestFit="1" customWidth="1"/>
    <col min="62" max="62" width="29" bestFit="1" customWidth="1"/>
    <col min="63" max="63" width="17.44140625" bestFit="1" customWidth="1"/>
    <col min="64" max="64" width="18.88671875" bestFit="1" customWidth="1"/>
    <col min="65" max="65" width="25.44140625" bestFit="1" customWidth="1"/>
    <col min="66" max="66" width="32.88671875" bestFit="1" customWidth="1"/>
    <col min="67" max="67" width="23.6640625" bestFit="1" customWidth="1"/>
    <col min="68" max="68" width="36.88671875" bestFit="1" customWidth="1"/>
    <col min="69" max="69" width="40.88671875" bestFit="1" customWidth="1"/>
    <col min="70" max="70" width="24.33203125" bestFit="1" customWidth="1"/>
    <col min="71" max="71" width="27.33203125" bestFit="1" customWidth="1"/>
    <col min="72" max="72" width="13.109375" bestFit="1" customWidth="1"/>
    <col min="73" max="73" width="33.33203125" bestFit="1" customWidth="1"/>
    <col min="74" max="74" width="25.33203125" bestFit="1" customWidth="1"/>
    <col min="75" max="75" width="23.109375" bestFit="1" customWidth="1"/>
    <col min="76" max="76" width="34" bestFit="1" customWidth="1"/>
    <col min="77" max="77" width="27.109375" bestFit="1" customWidth="1"/>
    <col min="78" max="78" width="29" bestFit="1" customWidth="1"/>
    <col min="79" max="79" width="22.33203125" bestFit="1" customWidth="1"/>
    <col min="80" max="80" width="20.5546875" bestFit="1" customWidth="1"/>
    <col min="81" max="81" width="13.33203125" bestFit="1" customWidth="1"/>
    <col min="82" max="82" width="25.5546875" bestFit="1" customWidth="1"/>
    <col min="83" max="83" width="28.109375" bestFit="1" customWidth="1"/>
    <col min="84" max="84" width="14.109375" bestFit="1" customWidth="1"/>
    <col min="85" max="85" width="13.88671875" bestFit="1" customWidth="1"/>
    <col min="86" max="86" width="28.6640625" bestFit="1" customWidth="1"/>
    <col min="87" max="87" width="33.44140625" bestFit="1" customWidth="1"/>
    <col min="88" max="88" width="26.44140625" bestFit="1" customWidth="1"/>
    <col min="89" max="89" width="29.88671875" bestFit="1" customWidth="1"/>
    <col min="90" max="90" width="25.44140625" bestFit="1" customWidth="1"/>
    <col min="91" max="91" width="28.88671875" bestFit="1" customWidth="1"/>
    <col min="92" max="92" width="32" bestFit="1" customWidth="1"/>
    <col min="93" max="93" width="30" bestFit="1" customWidth="1"/>
    <col min="94" max="94" width="20.6640625" bestFit="1" customWidth="1"/>
    <col min="95" max="95" width="19.33203125" bestFit="1" customWidth="1"/>
    <col min="96" max="96" width="14.6640625" bestFit="1" customWidth="1"/>
    <col min="97" max="97" width="11.88671875" bestFit="1" customWidth="1"/>
    <col min="98" max="98" width="12.44140625" bestFit="1" customWidth="1"/>
    <col min="99" max="99" width="14.33203125" bestFit="1" customWidth="1"/>
    <col min="100" max="100" width="18.33203125" bestFit="1" customWidth="1"/>
    <col min="101" max="101" width="26.44140625" bestFit="1" customWidth="1"/>
    <col min="102" max="102" width="19.33203125" bestFit="1" customWidth="1"/>
    <col min="103" max="103" width="19.6640625" bestFit="1" customWidth="1"/>
    <col min="104" max="104" width="28.44140625" bestFit="1" customWidth="1"/>
    <col min="105" max="105" width="34.44140625" bestFit="1" customWidth="1"/>
    <col min="106" max="106" width="17.6640625" bestFit="1" customWidth="1"/>
    <col min="107" max="107" width="13.33203125" bestFit="1" customWidth="1"/>
    <col min="108" max="108" width="42.88671875" bestFit="1" customWidth="1"/>
    <col min="109" max="109" width="14.6640625" bestFit="1" customWidth="1"/>
    <col min="110" max="110" width="13.109375" bestFit="1" customWidth="1"/>
    <col min="111" max="111" width="31.109375" bestFit="1" customWidth="1"/>
    <col min="112" max="112" width="20.109375" bestFit="1" customWidth="1"/>
    <col min="113" max="113" width="22.33203125" bestFit="1" customWidth="1"/>
    <col min="114" max="114" width="23" bestFit="1" customWidth="1"/>
    <col min="115" max="115" width="23.109375" bestFit="1" customWidth="1"/>
    <col min="116" max="116" width="41.109375" bestFit="1" customWidth="1"/>
    <col min="117" max="117" width="22.33203125" bestFit="1" customWidth="1"/>
    <col min="118" max="118" width="43.33203125" bestFit="1" customWidth="1"/>
    <col min="119" max="119" width="32.33203125" bestFit="1" customWidth="1"/>
    <col min="120" max="120" width="21.44140625" bestFit="1" customWidth="1"/>
    <col min="121" max="121" width="35.6640625" bestFit="1" customWidth="1"/>
    <col min="122" max="122" width="14.44140625" bestFit="1" customWidth="1"/>
    <col min="123" max="123" width="24.6640625" bestFit="1" customWidth="1"/>
    <col min="124" max="124" width="22.5546875" bestFit="1" customWidth="1"/>
    <col min="125" max="125" width="37.33203125" bestFit="1" customWidth="1"/>
    <col min="126" max="126" width="23.6640625" bestFit="1" customWidth="1"/>
    <col min="127" max="127" width="17" bestFit="1" customWidth="1"/>
    <col min="128" max="128" width="16.109375" bestFit="1" customWidth="1"/>
    <col min="129" max="129" width="17.44140625" bestFit="1" customWidth="1"/>
    <col min="130" max="130" width="22" bestFit="1" customWidth="1"/>
    <col min="131" max="132" width="21.6640625" bestFit="1" customWidth="1"/>
    <col min="133" max="133" width="15" bestFit="1" customWidth="1"/>
    <col min="134" max="134" width="25.33203125" bestFit="1" customWidth="1"/>
    <col min="135" max="135" width="32.33203125" bestFit="1" customWidth="1"/>
    <col min="136" max="136" width="38.33203125" bestFit="1" customWidth="1"/>
    <col min="137" max="137" width="38.109375" bestFit="1" customWidth="1"/>
    <col min="138" max="138" width="28.5546875" bestFit="1" customWidth="1"/>
    <col min="139" max="139" width="25.109375" bestFit="1" customWidth="1"/>
    <col min="140" max="140" width="17.44140625" bestFit="1" customWidth="1"/>
    <col min="141" max="141" width="42" bestFit="1" customWidth="1"/>
    <col min="142" max="142" width="21.6640625" bestFit="1" customWidth="1"/>
    <col min="143" max="143" width="17.6640625" bestFit="1" customWidth="1"/>
    <col min="144" max="144" width="19.5546875" bestFit="1" customWidth="1"/>
    <col min="145" max="145" width="35.109375" bestFit="1" customWidth="1"/>
    <col min="146" max="146" width="35" bestFit="1" customWidth="1"/>
    <col min="147" max="147" width="15" bestFit="1" customWidth="1"/>
    <col min="148" max="148" width="23.6640625" bestFit="1" customWidth="1"/>
    <col min="149" max="149" width="38.6640625" bestFit="1" customWidth="1"/>
    <col min="150" max="150" width="20.33203125" bestFit="1" customWidth="1"/>
    <col min="151" max="151" width="13.33203125" bestFit="1" customWidth="1"/>
    <col min="152" max="152" width="26.6640625" bestFit="1" customWidth="1"/>
    <col min="153" max="153" width="27.88671875" bestFit="1" customWidth="1"/>
    <col min="154" max="154" width="24" bestFit="1" customWidth="1"/>
    <col min="155" max="155" width="24.6640625" bestFit="1" customWidth="1"/>
    <col min="156" max="156" width="20.33203125" bestFit="1" customWidth="1"/>
    <col min="157" max="157" width="20.5546875" bestFit="1" customWidth="1"/>
    <col min="158" max="158" width="14.33203125" bestFit="1" customWidth="1"/>
    <col min="159" max="159" width="21.6640625" bestFit="1" customWidth="1"/>
    <col min="160" max="160" width="21" bestFit="1" customWidth="1"/>
    <col min="161" max="161" width="21.33203125" bestFit="1" customWidth="1"/>
    <col min="162" max="162" width="26.44140625" bestFit="1" customWidth="1"/>
    <col min="163" max="163" width="28.44140625" bestFit="1" customWidth="1"/>
    <col min="164" max="164" width="18.88671875" bestFit="1" customWidth="1"/>
    <col min="165" max="165" width="22" bestFit="1" customWidth="1"/>
    <col min="166" max="166" width="41.109375" bestFit="1" customWidth="1"/>
    <col min="167" max="167" width="33.6640625" bestFit="1" customWidth="1"/>
    <col min="168" max="168" width="16.6640625" bestFit="1" customWidth="1"/>
    <col min="169" max="169" width="21.33203125" bestFit="1" customWidth="1"/>
    <col min="170" max="170" width="29.109375" bestFit="1" customWidth="1"/>
    <col min="171" max="171" width="21.44140625" bestFit="1" customWidth="1"/>
    <col min="172" max="172" width="29.109375" bestFit="1" customWidth="1"/>
    <col min="173" max="173" width="15.6640625" bestFit="1" customWidth="1"/>
    <col min="174" max="174" width="23.5546875" bestFit="1" customWidth="1"/>
    <col min="175" max="175" width="23.109375" bestFit="1" customWidth="1"/>
    <col min="176" max="176" width="24.109375" bestFit="1" customWidth="1"/>
    <col min="177" max="177" width="23.6640625" bestFit="1" customWidth="1"/>
    <col min="178" max="178" width="17.6640625" bestFit="1" customWidth="1"/>
    <col min="179" max="179" width="22.88671875" bestFit="1" customWidth="1"/>
    <col min="180" max="180" width="23" bestFit="1" customWidth="1"/>
    <col min="181" max="181" width="38.109375" bestFit="1" customWidth="1"/>
    <col min="182" max="182" width="34" bestFit="1" customWidth="1"/>
    <col min="183" max="183" width="31.33203125" bestFit="1" customWidth="1"/>
    <col min="184" max="184" width="47.44140625" bestFit="1" customWidth="1"/>
    <col min="185" max="185" width="33" bestFit="1" customWidth="1"/>
    <col min="186" max="187" width="20.6640625" bestFit="1" customWidth="1"/>
    <col min="188" max="188" width="27.5546875" bestFit="1" customWidth="1"/>
    <col min="189" max="189" width="26.44140625" bestFit="1" customWidth="1"/>
    <col min="190" max="190" width="157.6640625" bestFit="1" customWidth="1"/>
    <col min="191" max="191" width="97.6640625" bestFit="1" customWidth="1"/>
    <col min="192" max="192" width="188.44140625" bestFit="1" customWidth="1"/>
    <col min="193" max="193" width="42.6640625" bestFit="1" customWidth="1"/>
    <col min="194" max="194" width="28.5546875" bestFit="1" customWidth="1"/>
    <col min="195" max="195" width="60.109375" bestFit="1" customWidth="1"/>
    <col min="196" max="196" width="20.88671875" bestFit="1" customWidth="1"/>
    <col min="197" max="197" width="6.33203125" bestFit="1" customWidth="1"/>
    <col min="198" max="198" width="42" bestFit="1" customWidth="1"/>
    <col min="199" max="199" width="134.88671875" bestFit="1" customWidth="1"/>
    <col min="200" max="200" width="164.88671875" bestFit="1" customWidth="1"/>
    <col min="201" max="201" width="103.5546875" bestFit="1" customWidth="1"/>
    <col min="202" max="202" width="100.33203125" bestFit="1" customWidth="1"/>
    <col min="203" max="203" width="22.88671875" bestFit="1" customWidth="1"/>
    <col min="204" max="204" width="19.5546875" bestFit="1" customWidth="1"/>
    <col min="205" max="205" width="53.5546875" bestFit="1" customWidth="1"/>
    <col min="206" max="206" width="14.88671875" bestFit="1" customWidth="1"/>
    <col min="207" max="207" width="18.6640625" bestFit="1" customWidth="1"/>
    <col min="208" max="208" width="15.88671875" bestFit="1" customWidth="1"/>
    <col min="209" max="209" width="38.33203125" bestFit="1" customWidth="1"/>
    <col min="210" max="210" width="64.33203125" bestFit="1" customWidth="1"/>
    <col min="211" max="211" width="23.109375" bestFit="1" customWidth="1"/>
    <col min="212" max="212" width="14.33203125" bestFit="1" customWidth="1"/>
    <col min="213" max="213" width="13.33203125" bestFit="1" customWidth="1"/>
    <col min="214" max="214" width="19.5546875" bestFit="1" customWidth="1"/>
    <col min="215" max="215" width="27.109375" bestFit="1" customWidth="1"/>
    <col min="216" max="216" width="17" bestFit="1" customWidth="1"/>
    <col min="217" max="217" width="11.6640625" bestFit="1" customWidth="1"/>
    <col min="218" max="218" width="29.6640625" bestFit="1" customWidth="1"/>
    <col min="219" max="219" width="19.33203125" bestFit="1" customWidth="1"/>
    <col min="220" max="220" width="18.109375" bestFit="1" customWidth="1"/>
    <col min="221" max="221" width="25.109375" bestFit="1" customWidth="1"/>
    <col min="222" max="222" width="30.5546875" bestFit="1" customWidth="1"/>
    <col min="223" max="223" width="22.44140625" bestFit="1" customWidth="1"/>
    <col min="224" max="224" width="39.6640625" bestFit="1" customWidth="1"/>
    <col min="225" max="225" width="53" bestFit="1" customWidth="1"/>
    <col min="226" max="226" width="53.5546875" bestFit="1" customWidth="1"/>
    <col min="227" max="227" width="30.6640625" bestFit="1" customWidth="1"/>
    <col min="228" max="228" width="29.88671875" bestFit="1" customWidth="1"/>
    <col min="229" max="229" width="12.5546875" bestFit="1" customWidth="1"/>
    <col min="230" max="230" width="16.6640625" bestFit="1" customWidth="1"/>
    <col min="231" max="231" width="15.109375" bestFit="1" customWidth="1"/>
    <col min="232" max="232" width="15" bestFit="1" customWidth="1"/>
    <col min="233" max="233" width="33.33203125" bestFit="1" customWidth="1"/>
    <col min="234" max="234" width="29.6640625" bestFit="1" customWidth="1"/>
    <col min="235" max="235" width="28" bestFit="1" customWidth="1"/>
    <col min="236" max="236" width="13.6640625" bestFit="1" customWidth="1"/>
    <col min="237" max="237" width="46.109375" bestFit="1" customWidth="1"/>
    <col min="238" max="238" width="31.88671875" bestFit="1" customWidth="1"/>
    <col min="239" max="239" width="33.33203125" bestFit="1" customWidth="1"/>
    <col min="240" max="240" width="14.6640625" bestFit="1" customWidth="1"/>
    <col min="241" max="241" width="23" bestFit="1" customWidth="1"/>
    <col min="242" max="242" width="36.5546875" bestFit="1" customWidth="1"/>
    <col min="243" max="243" width="32.88671875" bestFit="1" customWidth="1"/>
    <col min="244" max="244" width="14.33203125" bestFit="1" customWidth="1"/>
    <col min="245" max="245" width="22.5546875" bestFit="1" customWidth="1"/>
    <col min="246" max="246" width="22.6640625" bestFit="1" customWidth="1"/>
    <col min="247" max="247" width="25.6640625" bestFit="1" customWidth="1"/>
    <col min="248" max="248" width="37.44140625" bestFit="1" customWidth="1"/>
    <col min="249" max="249" width="26.44140625" bestFit="1" customWidth="1"/>
    <col min="250" max="250" width="22.6640625" bestFit="1" customWidth="1"/>
    <col min="251" max="251" width="37.109375" bestFit="1" customWidth="1"/>
    <col min="252" max="252" width="31.88671875" bestFit="1" customWidth="1"/>
    <col min="253" max="253" width="28" bestFit="1" customWidth="1"/>
    <col min="254" max="254" width="15.44140625" bestFit="1" customWidth="1"/>
    <col min="255" max="255" width="24" bestFit="1" customWidth="1"/>
    <col min="256" max="256" width="22.88671875" bestFit="1" customWidth="1"/>
    <col min="257" max="257" width="40.6640625" bestFit="1" customWidth="1"/>
    <col min="258" max="258" width="18.109375" bestFit="1" customWidth="1"/>
    <col min="259" max="259" width="17.88671875" bestFit="1" customWidth="1"/>
    <col min="260" max="260" width="12.109375" bestFit="1" customWidth="1"/>
    <col min="261" max="261" width="15.88671875" bestFit="1" customWidth="1"/>
    <col min="262" max="262" width="12.33203125" bestFit="1" customWidth="1"/>
    <col min="263" max="263" width="25.109375" bestFit="1" customWidth="1"/>
    <col min="264" max="264" width="12.88671875" bestFit="1" customWidth="1"/>
    <col min="265" max="265" width="20.6640625" bestFit="1" customWidth="1"/>
    <col min="266" max="266" width="16.6640625" bestFit="1" customWidth="1"/>
    <col min="267" max="267" width="27.88671875" bestFit="1" customWidth="1"/>
    <col min="268" max="268" width="24" bestFit="1" customWidth="1"/>
    <col min="269" max="269" width="25.109375" bestFit="1" customWidth="1"/>
    <col min="270" max="270" width="19" bestFit="1" customWidth="1"/>
    <col min="271" max="271" width="35.6640625" bestFit="1" customWidth="1"/>
    <col min="272" max="272" width="34" bestFit="1" customWidth="1"/>
    <col min="273" max="273" width="15.33203125" bestFit="1" customWidth="1"/>
    <col min="274" max="274" width="22.88671875" bestFit="1" customWidth="1"/>
    <col min="275" max="275" width="28.6640625" bestFit="1" customWidth="1"/>
    <col min="276" max="276" width="18.5546875" bestFit="1" customWidth="1"/>
    <col min="277" max="277" width="17.44140625" bestFit="1" customWidth="1"/>
    <col min="278" max="278" width="22.33203125" bestFit="1" customWidth="1"/>
    <col min="279" max="279" width="9.33203125" bestFit="1" customWidth="1"/>
    <col min="280" max="280" width="11.6640625" bestFit="1" customWidth="1"/>
    <col min="281" max="281" width="29.109375" bestFit="1" customWidth="1"/>
  </cols>
  <sheetData>
    <row r="3" spans="1:2" x14ac:dyDescent="0.3">
      <c r="A3" s="33" t="s">
        <v>1034</v>
      </c>
      <c r="B3" t="s">
        <v>1731</v>
      </c>
    </row>
    <row r="4" spans="1:2" x14ac:dyDescent="0.3">
      <c r="A4" s="34" t="s">
        <v>1287</v>
      </c>
      <c r="B4" s="35">
        <v>1</v>
      </c>
    </row>
    <row r="5" spans="1:2" x14ac:dyDescent="0.3">
      <c r="A5" s="34" t="s">
        <v>1197</v>
      </c>
      <c r="B5" s="35">
        <v>1</v>
      </c>
    </row>
    <row r="6" spans="1:2" x14ac:dyDescent="0.3">
      <c r="A6" s="34" t="s">
        <v>1636</v>
      </c>
      <c r="B6" s="35">
        <v>1</v>
      </c>
    </row>
    <row r="7" spans="1:2" x14ac:dyDescent="0.3">
      <c r="A7" s="34" t="s">
        <v>1605</v>
      </c>
      <c r="B7" s="35">
        <v>1</v>
      </c>
    </row>
    <row r="8" spans="1:2" x14ac:dyDescent="0.3">
      <c r="A8" s="34" t="s">
        <v>1658</v>
      </c>
      <c r="B8" s="35">
        <v>3</v>
      </c>
    </row>
    <row r="9" spans="1:2" x14ac:dyDescent="0.3">
      <c r="A9" s="34" t="s">
        <v>1407</v>
      </c>
      <c r="B9" s="35">
        <v>1</v>
      </c>
    </row>
    <row r="10" spans="1:2" x14ac:dyDescent="0.3">
      <c r="A10" s="34" t="s">
        <v>1339</v>
      </c>
      <c r="B10" s="35">
        <v>1</v>
      </c>
    </row>
    <row r="11" spans="1:2" x14ac:dyDescent="0.3">
      <c r="A11" s="34" t="s">
        <v>1675</v>
      </c>
      <c r="B11" s="35">
        <v>1</v>
      </c>
    </row>
    <row r="12" spans="1:2" x14ac:dyDescent="0.3">
      <c r="A12" s="34" t="s">
        <v>1093</v>
      </c>
      <c r="B12" s="35">
        <v>1</v>
      </c>
    </row>
    <row r="13" spans="1:2" x14ac:dyDescent="0.3">
      <c r="A13" s="34" t="s">
        <v>1427</v>
      </c>
      <c r="B13" s="35">
        <v>6</v>
      </c>
    </row>
    <row r="14" spans="1:2" x14ac:dyDescent="0.3">
      <c r="A14" s="34" t="s">
        <v>1187</v>
      </c>
      <c r="B14" s="35">
        <v>1</v>
      </c>
    </row>
    <row r="15" spans="1:2" x14ac:dyDescent="0.3">
      <c r="A15" s="34" t="s">
        <v>1671</v>
      </c>
      <c r="B15" s="35">
        <v>1</v>
      </c>
    </row>
    <row r="16" spans="1:2" x14ac:dyDescent="0.3">
      <c r="A16" s="34" t="s">
        <v>1185</v>
      </c>
      <c r="B16" s="35">
        <v>1</v>
      </c>
    </row>
    <row r="17" spans="1:2" x14ac:dyDescent="0.3">
      <c r="A17" s="34" t="s">
        <v>1217</v>
      </c>
      <c r="B17" s="35">
        <v>1</v>
      </c>
    </row>
    <row r="18" spans="1:2" x14ac:dyDescent="0.3">
      <c r="A18" s="34" t="s">
        <v>1201</v>
      </c>
      <c r="B18" s="35">
        <v>1</v>
      </c>
    </row>
    <row r="19" spans="1:2" x14ac:dyDescent="0.3">
      <c r="A19" s="34" t="s">
        <v>1504</v>
      </c>
      <c r="B19" s="35">
        <v>1</v>
      </c>
    </row>
    <row r="20" spans="1:2" x14ac:dyDescent="0.3">
      <c r="A20" s="34" t="s">
        <v>1619</v>
      </c>
      <c r="B20" s="35">
        <v>1</v>
      </c>
    </row>
    <row r="21" spans="1:2" x14ac:dyDescent="0.3">
      <c r="A21" s="34" t="s">
        <v>1367</v>
      </c>
      <c r="B21" s="35">
        <v>1</v>
      </c>
    </row>
    <row r="22" spans="1:2" x14ac:dyDescent="0.3">
      <c r="A22" s="34" t="s">
        <v>1273</v>
      </c>
      <c r="B22" s="35">
        <v>2</v>
      </c>
    </row>
    <row r="23" spans="1:2" x14ac:dyDescent="0.3">
      <c r="A23" s="34" t="s">
        <v>1562</v>
      </c>
      <c r="B23" s="35">
        <v>1</v>
      </c>
    </row>
    <row r="24" spans="1:2" x14ac:dyDescent="0.3">
      <c r="A24" s="34" t="s">
        <v>1351</v>
      </c>
      <c r="B24" s="35">
        <v>2</v>
      </c>
    </row>
    <row r="25" spans="1:2" x14ac:dyDescent="0.3">
      <c r="A25" s="34" t="s">
        <v>1550</v>
      </c>
      <c r="B25" s="35">
        <v>1</v>
      </c>
    </row>
    <row r="26" spans="1:2" x14ac:dyDescent="0.3">
      <c r="A26" s="34" t="s">
        <v>1498</v>
      </c>
      <c r="B26" s="35">
        <v>2</v>
      </c>
    </row>
    <row r="27" spans="1:2" x14ac:dyDescent="0.3">
      <c r="A27" s="34" t="s">
        <v>1211</v>
      </c>
      <c r="B27" s="35">
        <v>1</v>
      </c>
    </row>
    <row r="28" spans="1:2" x14ac:dyDescent="0.3">
      <c r="A28" s="34" t="s">
        <v>1266</v>
      </c>
      <c r="B28" s="35">
        <v>1</v>
      </c>
    </row>
    <row r="29" spans="1:2" x14ac:dyDescent="0.3">
      <c r="A29" s="34" t="s">
        <v>1319</v>
      </c>
      <c r="B29" s="35">
        <v>1</v>
      </c>
    </row>
    <row r="30" spans="1:2" x14ac:dyDescent="0.3">
      <c r="A30" s="34" t="s">
        <v>1400</v>
      </c>
      <c r="B30" s="35">
        <v>1</v>
      </c>
    </row>
    <row r="31" spans="1:2" x14ac:dyDescent="0.3">
      <c r="A31" s="34" t="s">
        <v>1239</v>
      </c>
      <c r="B31" s="35">
        <v>2</v>
      </c>
    </row>
    <row r="32" spans="1:2" x14ac:dyDescent="0.3">
      <c r="A32" s="34" t="s">
        <v>1226</v>
      </c>
      <c r="B32" s="35">
        <v>1</v>
      </c>
    </row>
    <row r="33" spans="1:2" x14ac:dyDescent="0.3">
      <c r="A33" s="34" t="s">
        <v>1203</v>
      </c>
      <c r="B33" s="35">
        <v>4</v>
      </c>
    </row>
    <row r="34" spans="1:2" x14ac:dyDescent="0.3">
      <c r="A34" s="34" t="s">
        <v>1296</v>
      </c>
      <c r="B34" s="35">
        <v>7</v>
      </c>
    </row>
    <row r="35" spans="1:2" x14ac:dyDescent="0.3">
      <c r="A35" s="34" t="s">
        <v>1341</v>
      </c>
      <c r="B35" s="35">
        <v>1</v>
      </c>
    </row>
    <row r="36" spans="1:2" x14ac:dyDescent="0.3">
      <c r="A36" s="34" t="s">
        <v>1725</v>
      </c>
      <c r="B36" s="35">
        <v>1</v>
      </c>
    </row>
    <row r="37" spans="1:2" x14ac:dyDescent="0.3">
      <c r="A37" s="34" t="s">
        <v>1558</v>
      </c>
      <c r="B37" s="35">
        <v>1</v>
      </c>
    </row>
    <row r="38" spans="1:2" x14ac:dyDescent="0.3">
      <c r="A38" s="34" t="s">
        <v>1474</v>
      </c>
      <c r="B38" s="35">
        <v>1</v>
      </c>
    </row>
    <row r="39" spans="1:2" x14ac:dyDescent="0.3">
      <c r="A39" s="34" t="s">
        <v>1335</v>
      </c>
      <c r="B39" s="35">
        <v>4</v>
      </c>
    </row>
    <row r="40" spans="1:2" x14ac:dyDescent="0.3">
      <c r="A40" s="34" t="s">
        <v>1396</v>
      </c>
      <c r="B40" s="35">
        <v>1</v>
      </c>
    </row>
    <row r="41" spans="1:2" x14ac:dyDescent="0.3">
      <c r="A41" s="34" t="s">
        <v>1219</v>
      </c>
      <c r="B41" s="35">
        <v>2</v>
      </c>
    </row>
    <row r="42" spans="1:2" x14ac:dyDescent="0.3">
      <c r="A42" s="34" t="s">
        <v>1199</v>
      </c>
      <c r="B42" s="35">
        <v>1</v>
      </c>
    </row>
    <row r="43" spans="1:2" x14ac:dyDescent="0.3">
      <c r="A43" s="34" t="s">
        <v>1215</v>
      </c>
      <c r="B43" s="35">
        <v>1</v>
      </c>
    </row>
    <row r="44" spans="1:2" x14ac:dyDescent="0.3">
      <c r="A44" s="34" t="s">
        <v>1205</v>
      </c>
      <c r="B44" s="35">
        <v>1</v>
      </c>
    </row>
    <row r="45" spans="1:2" x14ac:dyDescent="0.3">
      <c r="A45" s="34" t="s">
        <v>1607</v>
      </c>
      <c r="B45" s="35">
        <v>1</v>
      </c>
    </row>
    <row r="46" spans="1:2" x14ac:dyDescent="0.3">
      <c r="A46" s="34" t="s">
        <v>1585</v>
      </c>
      <c r="B46" s="35">
        <v>1</v>
      </c>
    </row>
    <row r="47" spans="1:2" x14ac:dyDescent="0.3">
      <c r="A47" s="34" t="s">
        <v>1691</v>
      </c>
      <c r="B47" s="35">
        <v>2</v>
      </c>
    </row>
    <row r="48" spans="1:2" x14ac:dyDescent="0.3">
      <c r="A48" s="34" t="s">
        <v>1183</v>
      </c>
      <c r="B48" s="35">
        <v>2</v>
      </c>
    </row>
    <row r="49" spans="1:2" x14ac:dyDescent="0.3">
      <c r="A49" s="34" t="s">
        <v>1521</v>
      </c>
      <c r="B49" s="35">
        <v>1</v>
      </c>
    </row>
    <row r="50" spans="1:2" x14ac:dyDescent="0.3">
      <c r="A50" s="34" t="s">
        <v>1587</v>
      </c>
      <c r="B50" s="35">
        <v>1</v>
      </c>
    </row>
    <row r="51" spans="1:2" x14ac:dyDescent="0.3">
      <c r="A51" s="34" t="s">
        <v>1463</v>
      </c>
      <c r="B51" s="35">
        <v>1</v>
      </c>
    </row>
    <row r="52" spans="1:2" x14ac:dyDescent="0.3">
      <c r="A52" s="34" t="s">
        <v>1120</v>
      </c>
      <c r="B52" s="35">
        <v>1</v>
      </c>
    </row>
    <row r="53" spans="1:2" x14ac:dyDescent="0.3">
      <c r="A53" s="34" t="s">
        <v>1369</v>
      </c>
      <c r="B53" s="35">
        <v>2</v>
      </c>
    </row>
    <row r="54" spans="1:2" x14ac:dyDescent="0.3">
      <c r="A54" s="34" t="s">
        <v>1060</v>
      </c>
      <c r="B54" s="35">
        <v>1</v>
      </c>
    </row>
    <row r="55" spans="1:2" x14ac:dyDescent="0.3">
      <c r="A55" s="34" t="s">
        <v>1091</v>
      </c>
      <c r="B55" s="35">
        <v>1</v>
      </c>
    </row>
    <row r="56" spans="1:2" x14ac:dyDescent="0.3">
      <c r="A56" s="34" t="s">
        <v>1327</v>
      </c>
      <c r="B56" s="35">
        <v>1</v>
      </c>
    </row>
    <row r="57" spans="1:2" x14ac:dyDescent="0.3">
      <c r="A57" s="34" t="s">
        <v>1065</v>
      </c>
      <c r="B57" s="35">
        <v>1</v>
      </c>
    </row>
    <row r="58" spans="1:2" x14ac:dyDescent="0.3">
      <c r="A58" s="34" t="s">
        <v>1268</v>
      </c>
      <c r="B58" s="35">
        <v>2</v>
      </c>
    </row>
    <row r="59" spans="1:2" x14ac:dyDescent="0.3">
      <c r="A59" s="34" t="s">
        <v>1705</v>
      </c>
      <c r="B59" s="35">
        <v>1</v>
      </c>
    </row>
    <row r="60" spans="1:2" x14ac:dyDescent="0.3">
      <c r="A60" s="34" t="s">
        <v>1325</v>
      </c>
      <c r="B60" s="35">
        <v>2</v>
      </c>
    </row>
    <row r="61" spans="1:2" x14ac:dyDescent="0.3">
      <c r="A61" s="34" t="s">
        <v>1209</v>
      </c>
      <c r="B61" s="35">
        <v>1</v>
      </c>
    </row>
    <row r="62" spans="1:2" x14ac:dyDescent="0.3">
      <c r="A62" s="34" t="s">
        <v>1345</v>
      </c>
      <c r="B62" s="35">
        <v>2</v>
      </c>
    </row>
    <row r="63" spans="1:2" x14ac:dyDescent="0.3">
      <c r="A63" s="34" t="s">
        <v>1398</v>
      </c>
      <c r="B63" s="35">
        <v>1</v>
      </c>
    </row>
    <row r="64" spans="1:2" x14ac:dyDescent="0.3">
      <c r="A64" s="34" t="s">
        <v>1413</v>
      </c>
      <c r="B64" s="35">
        <v>2</v>
      </c>
    </row>
    <row r="65" spans="1:2" x14ac:dyDescent="0.3">
      <c r="A65" s="34" t="s">
        <v>1600</v>
      </c>
      <c r="B65" s="35">
        <v>1</v>
      </c>
    </row>
    <row r="66" spans="1:2" x14ac:dyDescent="0.3">
      <c r="A66" s="34" t="s">
        <v>1331</v>
      </c>
      <c r="B66" s="35">
        <v>1</v>
      </c>
    </row>
    <row r="67" spans="1:2" x14ac:dyDescent="0.3">
      <c r="A67" s="34" t="s">
        <v>1425</v>
      </c>
      <c r="B67" s="35">
        <v>2</v>
      </c>
    </row>
    <row r="68" spans="1:2" x14ac:dyDescent="0.3">
      <c r="A68" s="34" t="s">
        <v>1271</v>
      </c>
      <c r="B68" s="35">
        <v>2</v>
      </c>
    </row>
    <row r="69" spans="1:2" x14ac:dyDescent="0.3">
      <c r="A69" s="34" t="s">
        <v>1465</v>
      </c>
      <c r="B69" s="35">
        <v>4</v>
      </c>
    </row>
    <row r="70" spans="1:2" x14ac:dyDescent="0.3">
      <c r="A70" s="34" t="s">
        <v>1405</v>
      </c>
      <c r="B70" s="35">
        <v>1</v>
      </c>
    </row>
    <row r="71" spans="1:2" x14ac:dyDescent="0.3">
      <c r="A71" s="34" t="s">
        <v>1533</v>
      </c>
      <c r="B71" s="35">
        <v>2</v>
      </c>
    </row>
    <row r="72" spans="1:2" x14ac:dyDescent="0.3">
      <c r="A72" s="34" t="s">
        <v>1353</v>
      </c>
      <c r="B72" s="35">
        <v>2</v>
      </c>
    </row>
    <row r="73" spans="1:2" x14ac:dyDescent="0.3">
      <c r="A73" s="34" t="s">
        <v>1230</v>
      </c>
      <c r="B73" s="35">
        <v>1</v>
      </c>
    </row>
    <row r="74" spans="1:2" x14ac:dyDescent="0.3">
      <c r="A74" s="34" t="s">
        <v>1152</v>
      </c>
      <c r="B74" s="35">
        <v>1</v>
      </c>
    </row>
    <row r="75" spans="1:2" x14ac:dyDescent="0.3">
      <c r="A75" s="34" t="s">
        <v>1359</v>
      </c>
      <c r="B75" s="35">
        <v>2</v>
      </c>
    </row>
    <row r="76" spans="1:2" x14ac:dyDescent="0.3">
      <c r="A76" s="34" t="s">
        <v>1548</v>
      </c>
      <c r="B76" s="35">
        <v>1</v>
      </c>
    </row>
    <row r="77" spans="1:2" x14ac:dyDescent="0.3">
      <c r="A77" s="34" t="s">
        <v>1158</v>
      </c>
      <c r="B77" s="35">
        <v>1</v>
      </c>
    </row>
    <row r="78" spans="1:2" x14ac:dyDescent="0.3">
      <c r="A78" s="34" t="s">
        <v>1056</v>
      </c>
      <c r="B78" s="35">
        <v>1</v>
      </c>
    </row>
    <row r="79" spans="1:2" x14ac:dyDescent="0.3">
      <c r="A79" s="34" t="s">
        <v>1634</v>
      </c>
      <c r="B79" s="35">
        <v>1</v>
      </c>
    </row>
    <row r="80" spans="1:2" x14ac:dyDescent="0.3">
      <c r="A80" s="34" t="s">
        <v>1576</v>
      </c>
      <c r="B80" s="35">
        <v>2</v>
      </c>
    </row>
    <row r="81" spans="1:2" x14ac:dyDescent="0.3">
      <c r="A81" s="34" t="s">
        <v>1432</v>
      </c>
      <c r="B81" s="35">
        <v>1</v>
      </c>
    </row>
    <row r="82" spans="1:2" x14ac:dyDescent="0.3">
      <c r="A82" s="34" t="s">
        <v>1154</v>
      </c>
      <c r="B82" s="35">
        <v>1</v>
      </c>
    </row>
    <row r="83" spans="1:2" x14ac:dyDescent="0.3">
      <c r="A83" s="34" t="s">
        <v>1544</v>
      </c>
      <c r="B83" s="35">
        <v>1</v>
      </c>
    </row>
    <row r="84" spans="1:2" x14ac:dyDescent="0.3">
      <c r="A84" s="34" t="s">
        <v>1309</v>
      </c>
      <c r="B84" s="35">
        <v>1</v>
      </c>
    </row>
    <row r="85" spans="1:2" x14ac:dyDescent="0.3">
      <c r="A85" s="34" t="s">
        <v>1429</v>
      </c>
      <c r="B85" s="35">
        <v>1</v>
      </c>
    </row>
    <row r="86" spans="1:2" x14ac:dyDescent="0.3">
      <c r="A86" s="34" t="s">
        <v>1160</v>
      </c>
      <c r="B86" s="35">
        <v>1</v>
      </c>
    </row>
    <row r="87" spans="1:2" x14ac:dyDescent="0.3">
      <c r="A87" s="34" t="s">
        <v>1041</v>
      </c>
      <c r="B87" s="35">
        <v>1</v>
      </c>
    </row>
    <row r="88" spans="1:2" x14ac:dyDescent="0.3">
      <c r="A88" s="34" t="s">
        <v>1627</v>
      </c>
      <c r="B88" s="35">
        <v>1</v>
      </c>
    </row>
    <row r="89" spans="1:2" x14ac:dyDescent="0.3">
      <c r="A89" s="34" t="s">
        <v>1237</v>
      </c>
      <c r="B89" s="35">
        <v>1</v>
      </c>
    </row>
    <row r="90" spans="1:2" x14ac:dyDescent="0.3">
      <c r="A90" s="34" t="s">
        <v>1172</v>
      </c>
      <c r="B90" s="35">
        <v>1</v>
      </c>
    </row>
    <row r="91" spans="1:2" x14ac:dyDescent="0.3">
      <c r="A91" s="34" t="s">
        <v>1264</v>
      </c>
      <c r="B91" s="35">
        <v>1</v>
      </c>
    </row>
    <row r="92" spans="1:2" x14ac:dyDescent="0.3">
      <c r="A92" s="34" t="s">
        <v>1228</v>
      </c>
      <c r="B92" s="35">
        <v>1</v>
      </c>
    </row>
    <row r="93" spans="1:2" x14ac:dyDescent="0.3">
      <c r="A93" s="34" t="s">
        <v>1116</v>
      </c>
      <c r="B93" s="35">
        <v>1</v>
      </c>
    </row>
    <row r="94" spans="1:2" x14ac:dyDescent="0.3">
      <c r="A94" s="34" t="s">
        <v>1258</v>
      </c>
      <c r="B94" s="35">
        <v>1</v>
      </c>
    </row>
    <row r="95" spans="1:2" x14ac:dyDescent="0.3">
      <c r="A95" s="34" t="s">
        <v>1241</v>
      </c>
      <c r="B95" s="35">
        <v>1</v>
      </c>
    </row>
    <row r="96" spans="1:2" x14ac:dyDescent="0.3">
      <c r="A96" s="34" t="s">
        <v>1436</v>
      </c>
      <c r="B96" s="35">
        <v>1</v>
      </c>
    </row>
    <row r="97" spans="1:2" x14ac:dyDescent="0.3">
      <c r="A97" s="34" t="s">
        <v>1381</v>
      </c>
      <c r="B97" s="35">
        <v>1</v>
      </c>
    </row>
    <row r="98" spans="1:2" x14ac:dyDescent="0.3">
      <c r="A98" s="34" t="s">
        <v>1252</v>
      </c>
      <c r="B98" s="35">
        <v>2</v>
      </c>
    </row>
    <row r="99" spans="1:2" x14ac:dyDescent="0.3">
      <c r="A99" s="34" t="s">
        <v>1591</v>
      </c>
      <c r="B99" s="35">
        <v>1</v>
      </c>
    </row>
    <row r="100" spans="1:2" x14ac:dyDescent="0.3">
      <c r="A100" s="34" t="s">
        <v>1566</v>
      </c>
      <c r="B100" s="35">
        <v>2</v>
      </c>
    </row>
    <row r="101" spans="1:2" x14ac:dyDescent="0.3">
      <c r="A101" s="34" t="s">
        <v>1510</v>
      </c>
      <c r="B101" s="35">
        <v>1</v>
      </c>
    </row>
    <row r="102" spans="1:2" x14ac:dyDescent="0.3">
      <c r="A102" s="34" t="s">
        <v>1323</v>
      </c>
      <c r="B102" s="35">
        <v>1</v>
      </c>
    </row>
    <row r="103" spans="1:2" x14ac:dyDescent="0.3">
      <c r="A103" s="34" t="s">
        <v>1311</v>
      </c>
      <c r="B103" s="35">
        <v>1</v>
      </c>
    </row>
    <row r="104" spans="1:2" x14ac:dyDescent="0.3">
      <c r="A104" s="34" t="s">
        <v>1613</v>
      </c>
      <c r="B104" s="35">
        <v>1</v>
      </c>
    </row>
    <row r="105" spans="1:2" x14ac:dyDescent="0.3">
      <c r="A105" s="34" t="s">
        <v>1044</v>
      </c>
      <c r="B105" s="35">
        <v>2</v>
      </c>
    </row>
    <row r="106" spans="1:2" x14ac:dyDescent="0.3">
      <c r="A106" s="34" t="s">
        <v>1343</v>
      </c>
      <c r="B106" s="35">
        <v>1</v>
      </c>
    </row>
    <row r="107" spans="1:2" x14ac:dyDescent="0.3">
      <c r="A107" s="34" t="s">
        <v>1478</v>
      </c>
      <c r="B107" s="35">
        <v>1</v>
      </c>
    </row>
    <row r="108" spans="1:2" x14ac:dyDescent="0.3">
      <c r="A108" s="34" t="s">
        <v>1189</v>
      </c>
      <c r="B108" s="35">
        <v>1</v>
      </c>
    </row>
    <row r="109" spans="1:2" x14ac:dyDescent="0.3">
      <c r="A109" s="34" t="s">
        <v>1602</v>
      </c>
      <c r="B109" s="35">
        <v>2</v>
      </c>
    </row>
    <row r="110" spans="1:2" x14ac:dyDescent="0.3">
      <c r="A110" s="34" t="s">
        <v>1307</v>
      </c>
      <c r="B110" s="35">
        <v>1</v>
      </c>
    </row>
    <row r="111" spans="1:2" x14ac:dyDescent="0.3">
      <c r="A111" s="34" t="s">
        <v>1078</v>
      </c>
      <c r="B111" s="35">
        <v>1</v>
      </c>
    </row>
    <row r="112" spans="1:2" x14ac:dyDescent="0.3">
      <c r="A112" s="34" t="s">
        <v>1459</v>
      </c>
      <c r="B112" s="35">
        <v>2</v>
      </c>
    </row>
    <row r="113" spans="1:2" x14ac:dyDescent="0.3">
      <c r="A113" s="34" t="s">
        <v>1046</v>
      </c>
      <c r="B113" s="35">
        <v>1</v>
      </c>
    </row>
    <row r="114" spans="1:2" x14ac:dyDescent="0.3">
      <c r="A114" s="34" t="s">
        <v>1110</v>
      </c>
      <c r="B114" s="35">
        <v>2</v>
      </c>
    </row>
    <row r="115" spans="1:2" x14ac:dyDescent="0.3">
      <c r="A115" s="34" t="s">
        <v>1632</v>
      </c>
      <c r="B115" s="35">
        <v>1</v>
      </c>
    </row>
    <row r="116" spans="1:2" x14ac:dyDescent="0.3">
      <c r="A116" s="34" t="s">
        <v>1673</v>
      </c>
      <c r="B116" s="35">
        <v>1</v>
      </c>
    </row>
    <row r="117" spans="1:2" x14ac:dyDescent="0.3">
      <c r="A117" s="34" t="s">
        <v>1069</v>
      </c>
      <c r="B117" s="35">
        <v>2</v>
      </c>
    </row>
    <row r="118" spans="1:2" x14ac:dyDescent="0.3">
      <c r="A118" s="34" t="s">
        <v>1515</v>
      </c>
      <c r="B118" s="35">
        <v>1</v>
      </c>
    </row>
    <row r="119" spans="1:2" x14ac:dyDescent="0.3">
      <c r="A119" s="34" t="s">
        <v>1071</v>
      </c>
      <c r="B119" s="35">
        <v>1</v>
      </c>
    </row>
    <row r="120" spans="1:2" x14ac:dyDescent="0.3">
      <c r="A120" s="34" t="s">
        <v>1080</v>
      </c>
      <c r="B120" s="35">
        <v>1</v>
      </c>
    </row>
    <row r="121" spans="1:2" x14ac:dyDescent="0.3">
      <c r="A121" s="34" t="s">
        <v>1150</v>
      </c>
      <c r="B121" s="35">
        <v>1</v>
      </c>
    </row>
    <row r="122" spans="1:2" x14ac:dyDescent="0.3">
      <c r="A122" s="34" t="s">
        <v>1615</v>
      </c>
      <c r="B122" s="35">
        <v>1</v>
      </c>
    </row>
    <row r="123" spans="1:2" x14ac:dyDescent="0.3">
      <c r="A123" s="34" t="s">
        <v>1053</v>
      </c>
      <c r="B123" s="35">
        <v>1</v>
      </c>
    </row>
    <row r="124" spans="1:2" x14ac:dyDescent="0.3">
      <c r="A124" s="34" t="s">
        <v>1629</v>
      </c>
      <c r="B124" s="35">
        <v>2</v>
      </c>
    </row>
    <row r="125" spans="1:2" x14ac:dyDescent="0.3">
      <c r="A125" s="34" t="s">
        <v>1087</v>
      </c>
      <c r="B125" s="35">
        <v>1</v>
      </c>
    </row>
    <row r="126" spans="1:2" x14ac:dyDescent="0.3">
      <c r="A126" s="34" t="s">
        <v>1275</v>
      </c>
      <c r="B126" s="35">
        <v>2</v>
      </c>
    </row>
    <row r="127" spans="1:2" x14ac:dyDescent="0.3">
      <c r="A127" s="34" t="s">
        <v>1529</v>
      </c>
      <c r="B127" s="35">
        <v>1</v>
      </c>
    </row>
    <row r="128" spans="1:2" x14ac:dyDescent="0.3">
      <c r="A128" s="34" t="s">
        <v>1048</v>
      </c>
      <c r="B128" s="35">
        <v>1</v>
      </c>
    </row>
    <row r="129" spans="1:2" x14ac:dyDescent="0.3">
      <c r="A129" s="34" t="s">
        <v>1112</v>
      </c>
      <c r="B129" s="35">
        <v>1</v>
      </c>
    </row>
    <row r="130" spans="1:2" x14ac:dyDescent="0.3">
      <c r="A130" s="34" t="s">
        <v>1099</v>
      </c>
      <c r="B130" s="35">
        <v>1</v>
      </c>
    </row>
    <row r="131" spans="1:2" x14ac:dyDescent="0.3">
      <c r="A131" s="34" t="s">
        <v>1126</v>
      </c>
      <c r="B131" s="35">
        <v>2</v>
      </c>
    </row>
    <row r="132" spans="1:2" x14ac:dyDescent="0.3">
      <c r="A132" s="34" t="s">
        <v>1067</v>
      </c>
      <c r="B132" s="35">
        <v>2</v>
      </c>
    </row>
    <row r="133" spans="1:2" x14ac:dyDescent="0.3">
      <c r="A133" s="34" t="s">
        <v>1058</v>
      </c>
      <c r="B133" s="35">
        <v>1</v>
      </c>
    </row>
    <row r="134" spans="1:2" x14ac:dyDescent="0.3">
      <c r="A134" s="34" t="s">
        <v>1050</v>
      </c>
      <c r="B134" s="35">
        <v>1</v>
      </c>
    </row>
    <row r="135" spans="1:2" x14ac:dyDescent="0.3">
      <c r="A135" s="34" t="s">
        <v>1168</v>
      </c>
      <c r="B135" s="35">
        <v>1</v>
      </c>
    </row>
    <row r="136" spans="1:2" x14ac:dyDescent="0.3">
      <c r="A136" s="34" t="s">
        <v>1164</v>
      </c>
      <c r="B136" s="35">
        <v>1</v>
      </c>
    </row>
    <row r="137" spans="1:2" x14ac:dyDescent="0.3">
      <c r="A137" s="34" t="s">
        <v>1409</v>
      </c>
      <c r="B137" s="35">
        <v>1</v>
      </c>
    </row>
    <row r="138" spans="1:2" x14ac:dyDescent="0.3">
      <c r="A138" s="34" t="s">
        <v>1089</v>
      </c>
      <c r="B138" s="35">
        <v>1</v>
      </c>
    </row>
    <row r="139" spans="1:2" x14ac:dyDescent="0.3">
      <c r="A139" s="34" t="s">
        <v>1502</v>
      </c>
      <c r="B139" s="35">
        <v>1</v>
      </c>
    </row>
    <row r="140" spans="1:2" x14ac:dyDescent="0.3">
      <c r="A140" s="34" t="s">
        <v>1535</v>
      </c>
      <c r="B140" s="35">
        <v>2</v>
      </c>
    </row>
    <row r="141" spans="1:2" x14ac:dyDescent="0.3">
      <c r="A141" s="34" t="s">
        <v>1639</v>
      </c>
      <c r="B141" s="35">
        <v>3</v>
      </c>
    </row>
    <row r="142" spans="1:2" x14ac:dyDescent="0.3">
      <c r="A142" s="34" t="s">
        <v>1166</v>
      </c>
      <c r="B142" s="35">
        <v>1</v>
      </c>
    </row>
    <row r="143" spans="1:2" x14ac:dyDescent="0.3">
      <c r="A143" s="34" t="s">
        <v>1298</v>
      </c>
      <c r="B143" s="35">
        <v>1</v>
      </c>
    </row>
    <row r="144" spans="1:2" x14ac:dyDescent="0.3">
      <c r="A144" s="34" t="s">
        <v>1260</v>
      </c>
      <c r="B144" s="35">
        <v>1</v>
      </c>
    </row>
    <row r="145" spans="1:2" x14ac:dyDescent="0.3">
      <c r="A145" s="34" t="s">
        <v>1097</v>
      </c>
      <c r="B145" s="35">
        <v>3</v>
      </c>
    </row>
    <row r="146" spans="1:2" x14ac:dyDescent="0.3">
      <c r="A146" s="34" t="s">
        <v>1101</v>
      </c>
      <c r="B146" s="35">
        <v>1</v>
      </c>
    </row>
    <row r="147" spans="1:2" x14ac:dyDescent="0.3">
      <c r="A147" s="34" t="s">
        <v>1075</v>
      </c>
      <c r="B147" s="35">
        <v>1</v>
      </c>
    </row>
    <row r="148" spans="1:2" x14ac:dyDescent="0.3">
      <c r="A148" s="34" t="s">
        <v>1329</v>
      </c>
      <c r="B148" s="35">
        <v>2</v>
      </c>
    </row>
    <row r="149" spans="1:2" x14ac:dyDescent="0.3">
      <c r="A149" s="34" t="s">
        <v>1232</v>
      </c>
      <c r="B149" s="35">
        <v>1</v>
      </c>
    </row>
    <row r="150" spans="1:2" x14ac:dyDescent="0.3">
      <c r="A150" s="34" t="s">
        <v>1085</v>
      </c>
      <c r="B150" s="35">
        <v>1</v>
      </c>
    </row>
    <row r="151" spans="1:2" x14ac:dyDescent="0.3">
      <c r="A151" s="34" t="s">
        <v>1175</v>
      </c>
      <c r="B151" s="35">
        <v>1</v>
      </c>
    </row>
    <row r="152" spans="1:2" x14ac:dyDescent="0.3">
      <c r="A152" s="34" t="s">
        <v>1108</v>
      </c>
      <c r="B152" s="35">
        <v>1</v>
      </c>
    </row>
    <row r="153" spans="1:2" x14ac:dyDescent="0.3">
      <c r="A153" s="34" t="s">
        <v>1376</v>
      </c>
      <c r="B153" s="35">
        <v>1</v>
      </c>
    </row>
    <row r="154" spans="1:2" x14ac:dyDescent="0.3">
      <c r="A154" s="34" t="s">
        <v>1282</v>
      </c>
      <c r="B154" s="35">
        <v>1</v>
      </c>
    </row>
    <row r="155" spans="1:2" x14ac:dyDescent="0.3">
      <c r="A155" s="34" t="s">
        <v>1476</v>
      </c>
      <c r="B155" s="35">
        <v>1</v>
      </c>
    </row>
    <row r="156" spans="1:2" x14ac:dyDescent="0.3">
      <c r="A156" s="34" t="s">
        <v>1374</v>
      </c>
      <c r="B156" s="35">
        <v>1</v>
      </c>
    </row>
    <row r="157" spans="1:2" x14ac:dyDescent="0.3">
      <c r="A157" s="34" t="s">
        <v>1114</v>
      </c>
      <c r="B157" s="35">
        <v>1</v>
      </c>
    </row>
    <row r="158" spans="1:2" x14ac:dyDescent="0.3">
      <c r="A158" s="34" t="s">
        <v>1669</v>
      </c>
      <c r="B158" s="35">
        <v>1</v>
      </c>
    </row>
    <row r="159" spans="1:2" x14ac:dyDescent="0.3">
      <c r="A159" s="34" t="s">
        <v>1177</v>
      </c>
      <c r="B159" s="35">
        <v>1</v>
      </c>
    </row>
    <row r="160" spans="1:2" x14ac:dyDescent="0.3">
      <c r="A160" s="34" t="s">
        <v>1596</v>
      </c>
      <c r="B160" s="35">
        <v>8</v>
      </c>
    </row>
    <row r="161" spans="1:2" x14ac:dyDescent="0.3">
      <c r="A161" s="34" t="s">
        <v>1611</v>
      </c>
      <c r="B161" s="35">
        <v>2</v>
      </c>
    </row>
    <row r="162" spans="1:2" x14ac:dyDescent="0.3">
      <c r="A162" s="34" t="s">
        <v>1694</v>
      </c>
      <c r="B162" s="35">
        <v>1</v>
      </c>
    </row>
    <row r="163" spans="1:2" x14ac:dyDescent="0.3">
      <c r="A163" s="34" t="s">
        <v>1709</v>
      </c>
      <c r="B163" s="35">
        <v>1</v>
      </c>
    </row>
    <row r="164" spans="1:2" x14ac:dyDescent="0.3">
      <c r="A164" s="34" t="s">
        <v>1508</v>
      </c>
      <c r="B164" s="35">
        <v>1</v>
      </c>
    </row>
    <row r="165" spans="1:2" x14ac:dyDescent="0.3">
      <c r="A165" s="34" t="s">
        <v>1403</v>
      </c>
      <c r="B165" s="35">
        <v>1</v>
      </c>
    </row>
    <row r="166" spans="1:2" x14ac:dyDescent="0.3">
      <c r="A166" s="34" t="s">
        <v>1337</v>
      </c>
      <c r="B166" s="35">
        <v>1</v>
      </c>
    </row>
    <row r="167" spans="1:2" x14ac:dyDescent="0.3">
      <c r="A167" s="34" t="s">
        <v>1162</v>
      </c>
      <c r="B167" s="35">
        <v>1</v>
      </c>
    </row>
    <row r="168" spans="1:2" x14ac:dyDescent="0.3">
      <c r="A168" s="34" t="s">
        <v>1384</v>
      </c>
      <c r="B168" s="35">
        <v>1</v>
      </c>
    </row>
    <row r="169" spans="1:2" x14ac:dyDescent="0.3">
      <c r="A169" s="34" t="s">
        <v>1156</v>
      </c>
      <c r="B169" s="35">
        <v>1</v>
      </c>
    </row>
    <row r="170" spans="1:2" x14ac:dyDescent="0.3">
      <c r="A170" s="34" t="s">
        <v>1378</v>
      </c>
      <c r="B170" s="35">
        <v>1</v>
      </c>
    </row>
    <row r="171" spans="1:2" x14ac:dyDescent="0.3">
      <c r="A171" s="34" t="s">
        <v>1349</v>
      </c>
      <c r="B171" s="35">
        <v>1</v>
      </c>
    </row>
    <row r="172" spans="1:2" x14ac:dyDescent="0.3">
      <c r="A172" s="34" t="s">
        <v>1598</v>
      </c>
      <c r="B172" s="35">
        <v>1</v>
      </c>
    </row>
    <row r="173" spans="1:2" x14ac:dyDescent="0.3">
      <c r="A173" s="34" t="s">
        <v>1073</v>
      </c>
      <c r="B173" s="35">
        <v>1</v>
      </c>
    </row>
    <row r="174" spans="1:2" x14ac:dyDescent="0.3">
      <c r="A174" s="34" t="s">
        <v>1082</v>
      </c>
      <c r="B174" s="35">
        <v>1</v>
      </c>
    </row>
    <row r="175" spans="1:2" x14ac:dyDescent="0.3">
      <c r="A175" s="34" t="s">
        <v>1095</v>
      </c>
      <c r="B175" s="35">
        <v>1</v>
      </c>
    </row>
    <row r="176" spans="1:2" x14ac:dyDescent="0.3">
      <c r="A176" s="34" t="s">
        <v>1103</v>
      </c>
      <c r="B176" s="35">
        <v>1</v>
      </c>
    </row>
    <row r="177" spans="1:2" x14ac:dyDescent="0.3">
      <c r="A177" s="34" t="s">
        <v>1560</v>
      </c>
      <c r="B177" s="35">
        <v>1</v>
      </c>
    </row>
    <row r="178" spans="1:2" x14ac:dyDescent="0.3">
      <c r="A178" s="34" t="s">
        <v>1583</v>
      </c>
      <c r="B178" s="35">
        <v>1</v>
      </c>
    </row>
    <row r="179" spans="1:2" x14ac:dyDescent="0.3">
      <c r="A179" s="34" t="s">
        <v>1487</v>
      </c>
      <c r="B179" s="35">
        <v>1</v>
      </c>
    </row>
    <row r="180" spans="1:2" x14ac:dyDescent="0.3">
      <c r="A180" s="34" t="s">
        <v>1411</v>
      </c>
      <c r="B180" s="35">
        <v>4</v>
      </c>
    </row>
    <row r="181" spans="1:2" x14ac:dyDescent="0.3">
      <c r="A181" s="34" t="s">
        <v>1418</v>
      </c>
      <c r="B181" s="35">
        <v>1</v>
      </c>
    </row>
    <row r="182" spans="1:2" x14ac:dyDescent="0.3">
      <c r="A182" s="34" t="s">
        <v>1660</v>
      </c>
      <c r="B182" s="35">
        <v>1</v>
      </c>
    </row>
    <row r="183" spans="1:2" x14ac:dyDescent="0.3">
      <c r="A183" s="34" t="s">
        <v>1730</v>
      </c>
      <c r="B183" s="35">
        <v>1</v>
      </c>
    </row>
    <row r="184" spans="1:2" x14ac:dyDescent="0.3">
      <c r="A184" s="34" t="s">
        <v>1711</v>
      </c>
      <c r="B184" s="35">
        <v>1</v>
      </c>
    </row>
    <row r="185" spans="1:2" x14ac:dyDescent="0.3">
      <c r="A185" s="34" t="s">
        <v>1655</v>
      </c>
      <c r="B185" s="35">
        <v>1</v>
      </c>
    </row>
    <row r="186" spans="1:2" x14ac:dyDescent="0.3">
      <c r="A186" s="34" t="s">
        <v>1664</v>
      </c>
      <c r="B186" s="35">
        <v>1</v>
      </c>
    </row>
    <row r="187" spans="1:2" x14ac:dyDescent="0.3">
      <c r="A187" s="34" t="s">
        <v>1649</v>
      </c>
      <c r="B187" s="35">
        <v>1</v>
      </c>
    </row>
    <row r="188" spans="1:2" x14ac:dyDescent="0.3">
      <c r="A188" s="34" t="s">
        <v>1444</v>
      </c>
      <c r="B188" s="35">
        <v>2</v>
      </c>
    </row>
    <row r="189" spans="1:2" x14ac:dyDescent="0.3">
      <c r="A189" s="34" t="s">
        <v>1467</v>
      </c>
      <c r="B189" s="35">
        <v>1</v>
      </c>
    </row>
    <row r="190" spans="1:2" x14ac:dyDescent="0.3">
      <c r="A190" s="34" t="s">
        <v>1623</v>
      </c>
      <c r="B190" s="35">
        <v>1</v>
      </c>
    </row>
    <row r="191" spans="1:2" x14ac:dyDescent="0.3">
      <c r="A191" s="34" t="s">
        <v>1135</v>
      </c>
      <c r="B191" s="35">
        <v>10</v>
      </c>
    </row>
    <row r="192" spans="1:2" x14ac:dyDescent="0.3">
      <c r="A192" s="34" t="s">
        <v>1193</v>
      </c>
      <c r="B192" s="35">
        <v>1</v>
      </c>
    </row>
    <row r="193" spans="1:2" x14ac:dyDescent="0.3">
      <c r="A193" s="34" t="s">
        <v>1179</v>
      </c>
      <c r="B193" s="35">
        <v>1</v>
      </c>
    </row>
    <row r="194" spans="1:2" x14ac:dyDescent="0.3">
      <c r="A194" s="34" t="s">
        <v>1181</v>
      </c>
      <c r="B194" s="35">
        <v>1</v>
      </c>
    </row>
    <row r="195" spans="1:2" x14ac:dyDescent="0.3">
      <c r="A195" s="34" t="s">
        <v>1651</v>
      </c>
      <c r="B195" s="35">
        <v>1</v>
      </c>
    </row>
    <row r="196" spans="1:2" x14ac:dyDescent="0.3">
      <c r="A196" s="34" t="s">
        <v>1289</v>
      </c>
      <c r="B196" s="35">
        <v>1</v>
      </c>
    </row>
    <row r="197" spans="1:2" x14ac:dyDescent="0.3">
      <c r="A197" s="34" t="s">
        <v>1293</v>
      </c>
      <c r="B197" s="35">
        <v>2</v>
      </c>
    </row>
    <row r="198" spans="1:2" x14ac:dyDescent="0.3">
      <c r="A198" s="34" t="s">
        <v>1291</v>
      </c>
      <c r="B198" s="35">
        <v>1</v>
      </c>
    </row>
    <row r="199" spans="1:2" x14ac:dyDescent="0.3">
      <c r="A199" s="34" t="s">
        <v>1506</v>
      </c>
      <c r="B199" s="35">
        <v>1</v>
      </c>
    </row>
    <row r="200" spans="1:2" x14ac:dyDescent="0.3">
      <c r="A200" s="34" t="s">
        <v>1317</v>
      </c>
      <c r="B200" s="35">
        <v>1</v>
      </c>
    </row>
    <row r="201" spans="1:2" x14ac:dyDescent="0.3">
      <c r="A201" s="34" t="s">
        <v>1131</v>
      </c>
      <c r="B201" s="35">
        <v>1</v>
      </c>
    </row>
    <row r="202" spans="1:2" x14ac:dyDescent="0.3">
      <c r="A202" s="34" t="s">
        <v>1144</v>
      </c>
      <c r="B202" s="35">
        <v>1</v>
      </c>
    </row>
    <row r="203" spans="1:2" x14ac:dyDescent="0.3">
      <c r="A203" s="34" t="s">
        <v>1213</v>
      </c>
      <c r="B203" s="35">
        <v>1</v>
      </c>
    </row>
    <row r="204" spans="1:2" x14ac:dyDescent="0.3">
      <c r="A204" s="34" t="s">
        <v>1063</v>
      </c>
      <c r="B204" s="35">
        <v>1</v>
      </c>
    </row>
    <row r="205" spans="1:2" x14ac:dyDescent="0.3">
      <c r="A205" s="34" t="s">
        <v>1542</v>
      </c>
      <c r="B205" s="35">
        <v>1</v>
      </c>
    </row>
    <row r="206" spans="1:2" x14ac:dyDescent="0.3">
      <c r="A206" s="34" t="s">
        <v>1285</v>
      </c>
      <c r="B206" s="35">
        <v>1</v>
      </c>
    </row>
    <row r="207" spans="1:2" x14ac:dyDescent="0.3">
      <c r="A207" s="34" t="s">
        <v>1386</v>
      </c>
      <c r="B207" s="35">
        <v>1</v>
      </c>
    </row>
    <row r="208" spans="1:2" x14ac:dyDescent="0.3">
      <c r="A208" s="34" t="s">
        <v>1707</v>
      </c>
      <c r="B208" s="35">
        <v>2</v>
      </c>
    </row>
    <row r="209" spans="1:2" x14ac:dyDescent="0.3">
      <c r="A209" s="34" t="s">
        <v>1581</v>
      </c>
      <c r="B209" s="35">
        <v>4</v>
      </c>
    </row>
    <row r="210" spans="1:2" x14ac:dyDescent="0.3">
      <c r="A210" s="34" t="s">
        <v>1686</v>
      </c>
      <c r="B210" s="35">
        <v>3</v>
      </c>
    </row>
    <row r="211" spans="1:2" x14ac:dyDescent="0.3">
      <c r="A211" s="34" t="s">
        <v>1448</v>
      </c>
      <c r="B211" s="35">
        <v>1</v>
      </c>
    </row>
    <row r="212" spans="1:2" x14ac:dyDescent="0.3">
      <c r="A212" s="34" t="s">
        <v>1452</v>
      </c>
      <c r="B212" s="35">
        <v>1</v>
      </c>
    </row>
    <row r="213" spans="1:2" x14ac:dyDescent="0.3">
      <c r="A213" s="34" t="s">
        <v>1556</v>
      </c>
      <c r="B213" s="35">
        <v>1</v>
      </c>
    </row>
    <row r="214" spans="1:2" x14ac:dyDescent="0.3">
      <c r="A214" s="34" t="s">
        <v>1540</v>
      </c>
      <c r="B214" s="35">
        <v>1</v>
      </c>
    </row>
    <row r="215" spans="1:2" x14ac:dyDescent="0.3">
      <c r="A215" s="34" t="s">
        <v>1223</v>
      </c>
      <c r="B215" s="35">
        <v>1</v>
      </c>
    </row>
    <row r="216" spans="1:2" x14ac:dyDescent="0.3">
      <c r="A216" s="34" t="s">
        <v>1727</v>
      </c>
      <c r="B216" s="35">
        <v>1</v>
      </c>
    </row>
    <row r="217" spans="1:2" x14ac:dyDescent="0.3">
      <c r="A217" s="34" t="s">
        <v>1564</v>
      </c>
      <c r="B217" s="35">
        <v>1</v>
      </c>
    </row>
    <row r="218" spans="1:2" x14ac:dyDescent="0.3">
      <c r="A218" s="34" t="s">
        <v>1388</v>
      </c>
      <c r="B218" s="35">
        <v>1</v>
      </c>
    </row>
    <row r="219" spans="1:2" x14ac:dyDescent="0.3">
      <c r="A219" s="34" t="s">
        <v>1244</v>
      </c>
      <c r="B219" s="35">
        <v>1</v>
      </c>
    </row>
    <row r="220" spans="1:2" x14ac:dyDescent="0.3">
      <c r="A220" s="34" t="s">
        <v>1372</v>
      </c>
      <c r="B220" s="35">
        <v>1</v>
      </c>
    </row>
    <row r="221" spans="1:2" x14ac:dyDescent="0.3">
      <c r="A221" s="34" t="s">
        <v>1574</v>
      </c>
      <c r="B221" s="35">
        <v>3</v>
      </c>
    </row>
    <row r="222" spans="1:2" x14ac:dyDescent="0.3">
      <c r="A222" s="34" t="s">
        <v>1470</v>
      </c>
      <c r="B222" s="35">
        <v>4</v>
      </c>
    </row>
    <row r="223" spans="1:2" x14ac:dyDescent="0.3">
      <c r="A223" s="34" t="s">
        <v>1207</v>
      </c>
      <c r="B223" s="35">
        <v>1</v>
      </c>
    </row>
    <row r="224" spans="1:2" x14ac:dyDescent="0.3">
      <c r="A224" s="34" t="s">
        <v>1255</v>
      </c>
      <c r="B224" s="35">
        <v>1</v>
      </c>
    </row>
    <row r="225" spans="1:2" x14ac:dyDescent="0.3">
      <c r="A225" s="34" t="s">
        <v>1106</v>
      </c>
      <c r="B225" s="35">
        <v>5</v>
      </c>
    </row>
    <row r="226" spans="1:2" x14ac:dyDescent="0.3">
      <c r="A226" s="34" t="s">
        <v>1500</v>
      </c>
      <c r="B226" s="35">
        <v>1</v>
      </c>
    </row>
    <row r="227" spans="1:2" x14ac:dyDescent="0.3">
      <c r="A227" s="34" t="s">
        <v>1141</v>
      </c>
      <c r="B227" s="35">
        <v>1</v>
      </c>
    </row>
    <row r="228" spans="1:2" x14ac:dyDescent="0.3">
      <c r="A228" s="34" t="s">
        <v>1133</v>
      </c>
      <c r="B228" s="35">
        <v>1</v>
      </c>
    </row>
    <row r="229" spans="1:2" x14ac:dyDescent="0.3">
      <c r="A229" s="34" t="s">
        <v>1137</v>
      </c>
      <c r="B229" s="35">
        <v>2</v>
      </c>
    </row>
    <row r="230" spans="1:2" x14ac:dyDescent="0.3">
      <c r="A230" s="34" t="s">
        <v>1304</v>
      </c>
      <c r="B230" s="35">
        <v>1</v>
      </c>
    </row>
    <row r="231" spans="1:2" x14ac:dyDescent="0.3">
      <c r="A231" s="34" t="s">
        <v>1703</v>
      </c>
      <c r="B231" s="35">
        <v>1</v>
      </c>
    </row>
    <row r="232" spans="1:2" x14ac:dyDescent="0.3">
      <c r="A232" s="34" t="s">
        <v>1689</v>
      </c>
      <c r="B232" s="35">
        <v>1</v>
      </c>
    </row>
    <row r="233" spans="1:2" x14ac:dyDescent="0.3">
      <c r="A233" s="34" t="s">
        <v>1594</v>
      </c>
      <c r="B233" s="35">
        <v>2</v>
      </c>
    </row>
    <row r="234" spans="1:2" x14ac:dyDescent="0.3">
      <c r="A234" s="34" t="s">
        <v>1717</v>
      </c>
      <c r="B234" s="35">
        <v>1</v>
      </c>
    </row>
    <row r="235" spans="1:2" x14ac:dyDescent="0.3">
      <c r="A235" s="34" t="s">
        <v>1719</v>
      </c>
      <c r="B235" s="35">
        <v>1</v>
      </c>
    </row>
    <row r="236" spans="1:2" x14ac:dyDescent="0.3">
      <c r="A236" s="34" t="s">
        <v>1643</v>
      </c>
      <c r="B236" s="35">
        <v>1</v>
      </c>
    </row>
    <row r="237" spans="1:2" x14ac:dyDescent="0.3">
      <c r="A237" s="34" t="s">
        <v>1392</v>
      </c>
      <c r="B237" s="35">
        <v>1</v>
      </c>
    </row>
    <row r="238" spans="1:2" x14ac:dyDescent="0.3">
      <c r="A238" s="34" t="s">
        <v>1280</v>
      </c>
      <c r="B238" s="35">
        <v>2</v>
      </c>
    </row>
    <row r="239" spans="1:2" x14ac:dyDescent="0.3">
      <c r="A239" s="34" t="s">
        <v>1302</v>
      </c>
      <c r="B239" s="35">
        <v>1</v>
      </c>
    </row>
    <row r="240" spans="1:2" x14ac:dyDescent="0.3">
      <c r="A240" s="34" t="s">
        <v>1554</v>
      </c>
      <c r="B240" s="35">
        <v>1</v>
      </c>
    </row>
    <row r="241" spans="1:2" x14ac:dyDescent="0.3">
      <c r="A241" s="34" t="s">
        <v>1552</v>
      </c>
      <c r="B241" s="35">
        <v>1</v>
      </c>
    </row>
    <row r="242" spans="1:2" x14ac:dyDescent="0.3">
      <c r="A242" s="34" t="s">
        <v>1517</v>
      </c>
      <c r="B242" s="35">
        <v>1</v>
      </c>
    </row>
    <row r="243" spans="1:2" x14ac:dyDescent="0.3">
      <c r="A243" s="34" t="s">
        <v>1262</v>
      </c>
      <c r="B243" s="35">
        <v>1</v>
      </c>
    </row>
    <row r="244" spans="1:2" x14ac:dyDescent="0.3">
      <c r="A244" s="34" t="s">
        <v>1221</v>
      </c>
      <c r="B244" s="35">
        <v>1</v>
      </c>
    </row>
    <row r="245" spans="1:2" x14ac:dyDescent="0.3">
      <c r="A245" s="34" t="s">
        <v>1568</v>
      </c>
      <c r="B245" s="35">
        <v>1</v>
      </c>
    </row>
    <row r="246" spans="1:2" x14ac:dyDescent="0.3">
      <c r="A246" s="34" t="s">
        <v>1546</v>
      </c>
      <c r="B246" s="35">
        <v>1</v>
      </c>
    </row>
    <row r="247" spans="1:2" x14ac:dyDescent="0.3">
      <c r="A247" s="34" t="s">
        <v>1450</v>
      </c>
      <c r="B247" s="35">
        <v>1</v>
      </c>
    </row>
    <row r="248" spans="1:2" x14ac:dyDescent="0.3">
      <c r="A248" s="34" t="s">
        <v>1300</v>
      </c>
      <c r="B248" s="35">
        <v>1</v>
      </c>
    </row>
    <row r="249" spans="1:2" x14ac:dyDescent="0.3">
      <c r="A249" s="34" t="s">
        <v>1641</v>
      </c>
      <c r="B249" s="35">
        <v>1</v>
      </c>
    </row>
    <row r="250" spans="1:2" x14ac:dyDescent="0.3">
      <c r="A250" s="34" t="s">
        <v>1250</v>
      </c>
      <c r="B250" s="35">
        <v>1</v>
      </c>
    </row>
    <row r="251" spans="1:2" x14ac:dyDescent="0.3">
      <c r="A251" s="34" t="s">
        <v>1647</v>
      </c>
      <c r="B251" s="35">
        <v>1</v>
      </c>
    </row>
    <row r="252" spans="1:2" x14ac:dyDescent="0.3">
      <c r="A252" s="34" t="s">
        <v>1653</v>
      </c>
      <c r="B252" s="35">
        <v>1</v>
      </c>
    </row>
    <row r="253" spans="1:2" x14ac:dyDescent="0.3">
      <c r="A253" s="34" t="s">
        <v>1680</v>
      </c>
      <c r="B253" s="35">
        <v>1</v>
      </c>
    </row>
    <row r="254" spans="1:2" x14ac:dyDescent="0.3">
      <c r="A254" s="34" t="s">
        <v>1684</v>
      </c>
      <c r="B254" s="35">
        <v>2</v>
      </c>
    </row>
    <row r="255" spans="1:2" x14ac:dyDescent="0.3">
      <c r="A255" s="34" t="s">
        <v>1246</v>
      </c>
      <c r="B255" s="35">
        <v>1</v>
      </c>
    </row>
    <row r="256" spans="1:2" x14ac:dyDescent="0.3">
      <c r="A256" s="34" t="s">
        <v>1457</v>
      </c>
      <c r="B256" s="35">
        <v>2</v>
      </c>
    </row>
    <row r="257" spans="1:2" x14ac:dyDescent="0.3">
      <c r="A257" s="34" t="s">
        <v>1572</v>
      </c>
      <c r="B257" s="35">
        <v>1</v>
      </c>
    </row>
    <row r="258" spans="1:2" x14ac:dyDescent="0.3">
      <c r="A258" s="34" t="s">
        <v>1513</v>
      </c>
      <c r="B258" s="35">
        <v>1</v>
      </c>
    </row>
    <row r="259" spans="1:2" x14ac:dyDescent="0.3">
      <c r="A259" s="34" t="s">
        <v>1347</v>
      </c>
      <c r="B259" s="35">
        <v>1</v>
      </c>
    </row>
    <row r="260" spans="1:2" x14ac:dyDescent="0.3">
      <c r="A260" s="34" t="s">
        <v>1472</v>
      </c>
      <c r="B260" s="35">
        <v>2</v>
      </c>
    </row>
    <row r="261" spans="1:2" x14ac:dyDescent="0.3">
      <c r="A261" s="34" t="s">
        <v>1356</v>
      </c>
      <c r="B261" s="35">
        <v>2</v>
      </c>
    </row>
    <row r="262" spans="1:2" x14ac:dyDescent="0.3">
      <c r="A262" s="34" t="s">
        <v>1526</v>
      </c>
      <c r="B262" s="35">
        <v>1</v>
      </c>
    </row>
    <row r="263" spans="1:2" x14ac:dyDescent="0.3">
      <c r="A263" s="34" t="s">
        <v>1482</v>
      </c>
      <c r="B263" s="35">
        <v>1</v>
      </c>
    </row>
    <row r="264" spans="1:2" x14ac:dyDescent="0.3">
      <c r="A264" s="34" t="s">
        <v>1455</v>
      </c>
      <c r="B264" s="35">
        <v>1</v>
      </c>
    </row>
    <row r="265" spans="1:2" x14ac:dyDescent="0.3">
      <c r="A265" s="34" t="s">
        <v>1234</v>
      </c>
      <c r="B265" s="35">
        <v>1</v>
      </c>
    </row>
    <row r="266" spans="1:2" x14ac:dyDescent="0.3">
      <c r="A266" s="34" t="s">
        <v>1123</v>
      </c>
      <c r="B266" s="35">
        <v>4</v>
      </c>
    </row>
    <row r="267" spans="1:2" x14ac:dyDescent="0.3">
      <c r="A267" s="34" t="s">
        <v>1191</v>
      </c>
      <c r="B267" s="35">
        <v>1</v>
      </c>
    </row>
    <row r="268" spans="1:2" x14ac:dyDescent="0.3">
      <c r="A268" s="34" t="s">
        <v>1480</v>
      </c>
      <c r="B268" s="35">
        <v>1</v>
      </c>
    </row>
    <row r="269" spans="1:2" x14ac:dyDescent="0.3">
      <c r="A269" s="34" t="s">
        <v>1531</v>
      </c>
      <c r="B269" s="35">
        <v>1</v>
      </c>
    </row>
    <row r="270" spans="1:2" x14ac:dyDescent="0.3">
      <c r="A270" s="34" t="s">
        <v>1415</v>
      </c>
      <c r="B270" s="35">
        <v>6</v>
      </c>
    </row>
    <row r="271" spans="1:2" x14ac:dyDescent="0.3">
      <c r="A271" s="34" t="s">
        <v>1570</v>
      </c>
      <c r="B271" s="35">
        <v>8</v>
      </c>
    </row>
    <row r="272" spans="1:2" x14ac:dyDescent="0.3">
      <c r="A272" s="34" t="s">
        <v>1321</v>
      </c>
      <c r="B272" s="35">
        <v>1</v>
      </c>
    </row>
    <row r="273" spans="1:2" x14ac:dyDescent="0.3">
      <c r="A273" s="34" t="s">
        <v>1390</v>
      </c>
      <c r="B273" s="35">
        <v>1</v>
      </c>
    </row>
    <row r="274" spans="1:2" x14ac:dyDescent="0.3">
      <c r="A274" s="34" t="s">
        <v>1440</v>
      </c>
      <c r="B274" s="35">
        <v>1</v>
      </c>
    </row>
    <row r="275" spans="1:2" x14ac:dyDescent="0.3">
      <c r="A275" s="34" t="s">
        <v>1434</v>
      </c>
      <c r="B275" s="35">
        <v>1</v>
      </c>
    </row>
    <row r="276" spans="1:2" x14ac:dyDescent="0.3">
      <c r="A276" s="34" t="s">
        <v>1313</v>
      </c>
      <c r="B276" s="35">
        <v>1</v>
      </c>
    </row>
    <row r="277" spans="1:2" x14ac:dyDescent="0.3">
      <c r="A277" s="34" t="s">
        <v>1248</v>
      </c>
      <c r="B277" s="35">
        <v>1</v>
      </c>
    </row>
    <row r="278" spans="1:2" x14ac:dyDescent="0.3">
      <c r="A278" s="34" t="s">
        <v>1118</v>
      </c>
      <c r="B278" s="35">
        <v>1</v>
      </c>
    </row>
    <row r="279" spans="1:2" x14ac:dyDescent="0.3">
      <c r="A279" s="34" t="s">
        <v>1128</v>
      </c>
      <c r="B279" s="35">
        <v>1</v>
      </c>
    </row>
    <row r="280" spans="1:2" x14ac:dyDescent="0.3">
      <c r="A280" s="34" t="s">
        <v>1589</v>
      </c>
      <c r="B280" s="35">
        <v>1</v>
      </c>
    </row>
    <row r="281" spans="1:2" x14ac:dyDescent="0.3">
      <c r="A281" s="34" t="s">
        <v>1713</v>
      </c>
      <c r="B281" s="35">
        <v>1</v>
      </c>
    </row>
    <row r="282" spans="1:2" x14ac:dyDescent="0.3">
      <c r="A282" s="34" t="s">
        <v>1721</v>
      </c>
      <c r="B282" s="35">
        <v>1</v>
      </c>
    </row>
    <row r="283" spans="1:2" x14ac:dyDescent="0.3">
      <c r="A283" s="34" t="s">
        <v>1278</v>
      </c>
      <c r="B283" s="35">
        <v>2</v>
      </c>
    </row>
    <row r="284" spans="1:2" x14ac:dyDescent="0.3">
      <c r="A284" s="34" t="s">
        <v>1035</v>
      </c>
      <c r="B284" s="35">
        <v>397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1732</v>
      </c>
    </row>
    <row r="4" spans="1:1" x14ac:dyDescent="0.3">
      <c r="A4" t="s">
        <v>1739</v>
      </c>
    </row>
    <row r="5" spans="1:1" x14ac:dyDescent="0.3">
      <c r="A5" t="s">
        <v>1742</v>
      </c>
    </row>
    <row r="6" spans="1:1" x14ac:dyDescent="0.3">
      <c r="A6" t="s">
        <v>1743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TD BD</vt:lpstr>
      <vt:lpstr>BD</vt:lpstr>
      <vt:lpstr>OF</vt:lpstr>
      <vt:lpstr>Hoja1</vt:lpstr>
      <vt:lpstr>Hoja4</vt:lpstr>
      <vt:lpstr>Consideraciones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2026-07-24T06:28:58Z</dcterms:modified>
</cp:coreProperties>
</file>